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ataScience\[DIVE]\Project\CRMRetention\Result\"/>
    </mc:Choice>
  </mc:AlternateContent>
  <xr:revisionPtr revIDLastSave="0" documentId="13_ncr:1_{03610AB4-6278-43F0-9F85-A0C5701791B5}" xr6:coauthVersionLast="47" xr6:coauthVersionMax="47" xr10:uidLastSave="{00000000-0000-0000-0000-000000000000}"/>
  <bookViews>
    <workbookView xWindow="51110" yWindow="-810" windowWidth="19380" windowHeight="21690" activeTab="2" xr2:uid="{00000000-000D-0000-FFFF-FFFF00000000}"/>
  </bookViews>
  <sheets>
    <sheet name="Sheet1" sheetId="1" r:id="rId1"/>
    <sheet name="Sheet2" sheetId="2" r:id="rId2"/>
    <sheet name="Sheet2 (2)" sheetId="3" r:id="rId3"/>
  </sheets>
  <definedNames>
    <definedName name="_xlnm._FilterDatabase" localSheetId="1" hidden="1">Sheet2!$B$1:$I$121</definedName>
    <definedName name="_xlnm._FilterDatabase" localSheetId="2" hidden="1">'Sheet2 (2)'!$A$1:$I$121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3" l="1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0" i="3"/>
  <c r="G60" i="3"/>
  <c r="H59" i="3"/>
  <c r="G59" i="3"/>
  <c r="H58" i="3"/>
  <c r="G58" i="3"/>
  <c r="H57" i="3"/>
  <c r="G57" i="3"/>
  <c r="H56" i="3"/>
  <c r="G56" i="3"/>
  <c r="H55" i="3"/>
  <c r="G55" i="3"/>
  <c r="H98" i="3"/>
  <c r="G98" i="3"/>
  <c r="H97" i="3"/>
  <c r="G97" i="3"/>
  <c r="H96" i="3"/>
  <c r="G96" i="3"/>
  <c r="H95" i="3"/>
  <c r="G95" i="3"/>
  <c r="H94" i="3"/>
  <c r="G94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42" i="3"/>
  <c r="G42" i="3"/>
  <c r="H41" i="3"/>
  <c r="G41" i="3"/>
  <c r="H39" i="3"/>
  <c r="G39" i="3"/>
  <c r="H38" i="3"/>
  <c r="G38" i="3"/>
  <c r="H36" i="3"/>
  <c r="G36" i="3"/>
  <c r="H35" i="3"/>
  <c r="G35" i="3"/>
  <c r="H34" i="3"/>
  <c r="G34" i="3"/>
  <c r="H33" i="3"/>
  <c r="G33" i="3"/>
  <c r="H31" i="3"/>
  <c r="G31" i="3"/>
  <c r="H30" i="3"/>
  <c r="G30" i="3"/>
  <c r="H29" i="3"/>
  <c r="G29" i="3"/>
  <c r="H28" i="3"/>
  <c r="G28" i="3"/>
  <c r="H118" i="3"/>
  <c r="G118" i="3"/>
  <c r="H117" i="3"/>
  <c r="G117" i="3"/>
  <c r="H116" i="3"/>
  <c r="G116" i="3"/>
  <c r="H115" i="3"/>
  <c r="G115" i="3"/>
  <c r="H26" i="3"/>
  <c r="G26" i="3"/>
  <c r="H25" i="3"/>
  <c r="G25" i="3"/>
  <c r="H24" i="3"/>
  <c r="G24" i="3"/>
  <c r="H23" i="3"/>
  <c r="G23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22" i="3"/>
  <c r="G22" i="3"/>
  <c r="H21" i="3"/>
  <c r="G21" i="3"/>
  <c r="H20" i="3"/>
  <c r="G20" i="3"/>
  <c r="H19" i="3"/>
  <c r="G19" i="3"/>
  <c r="H76" i="3"/>
  <c r="G76" i="3"/>
  <c r="H75" i="3"/>
  <c r="G75" i="3"/>
  <c r="H18" i="3"/>
  <c r="G18" i="3"/>
  <c r="H17" i="3"/>
  <c r="G17" i="3"/>
  <c r="H16" i="3"/>
  <c r="G16" i="3"/>
  <c r="H15" i="3"/>
  <c r="G15" i="3"/>
  <c r="H14" i="3"/>
  <c r="G14" i="3"/>
  <c r="H13" i="3"/>
  <c r="G13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3" i="3"/>
  <c r="G3" i="3"/>
  <c r="G113" i="2"/>
  <c r="G114" i="2"/>
  <c r="G115" i="2"/>
  <c r="G116" i="2"/>
  <c r="G117" i="2"/>
  <c r="G118" i="2"/>
  <c r="G119" i="2"/>
  <c r="G120" i="2"/>
  <c r="G121" i="2"/>
  <c r="G112" i="2"/>
  <c r="G107" i="2"/>
  <c r="G108" i="2"/>
  <c r="G109" i="2"/>
  <c r="G106" i="2"/>
  <c r="G103" i="2"/>
  <c r="G102" i="2"/>
  <c r="G96" i="2"/>
  <c r="G97" i="2"/>
  <c r="G98" i="2"/>
  <c r="G99" i="2"/>
  <c r="G95" i="2"/>
  <c r="G84" i="2"/>
  <c r="G85" i="2"/>
  <c r="G86" i="2"/>
  <c r="G87" i="2"/>
  <c r="G88" i="2"/>
  <c r="G89" i="2"/>
  <c r="G90" i="2"/>
  <c r="G83" i="2"/>
  <c r="G72" i="2"/>
  <c r="G73" i="2"/>
  <c r="G74" i="2"/>
  <c r="G75" i="2"/>
  <c r="G76" i="2"/>
  <c r="G77" i="2"/>
  <c r="G78" i="2"/>
  <c r="G79" i="2"/>
  <c r="G80" i="2"/>
  <c r="G71" i="2"/>
  <c r="G69" i="2"/>
  <c r="G68" i="2"/>
  <c r="G66" i="2"/>
  <c r="G65" i="2"/>
  <c r="G60" i="2"/>
  <c r="G59" i="2"/>
  <c r="G56" i="2"/>
  <c r="G55" i="2"/>
  <c r="G46" i="2"/>
  <c r="G47" i="2"/>
  <c r="G48" i="2"/>
  <c r="G49" i="2"/>
  <c r="G50" i="2"/>
  <c r="G51" i="2"/>
  <c r="G52" i="2"/>
  <c r="G45" i="2"/>
  <c r="G32" i="2"/>
  <c r="G33" i="2"/>
  <c r="G34" i="2"/>
  <c r="G35" i="2"/>
  <c r="G36" i="2"/>
  <c r="G37" i="2"/>
  <c r="G38" i="2"/>
  <c r="G39" i="2"/>
  <c r="G40" i="2"/>
  <c r="G41" i="2"/>
  <c r="G42" i="2"/>
  <c r="G27" i="2"/>
  <c r="G28" i="2"/>
  <c r="G29" i="2"/>
  <c r="G30" i="2"/>
  <c r="G31" i="2"/>
  <c r="G26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3" i="2"/>
  <c r="H113" i="2"/>
  <c r="H114" i="2"/>
  <c r="H115" i="2"/>
  <c r="H116" i="2"/>
  <c r="H117" i="2"/>
  <c r="H118" i="2"/>
  <c r="H119" i="2"/>
  <c r="H120" i="2"/>
  <c r="H121" i="2"/>
  <c r="H112" i="2"/>
  <c r="H109" i="2"/>
  <c r="H108" i="2"/>
  <c r="H107" i="2"/>
  <c r="H106" i="2"/>
  <c r="H103" i="2"/>
  <c r="H102" i="2"/>
  <c r="H96" i="2"/>
  <c r="H97" i="2"/>
  <c r="H98" i="2"/>
  <c r="H99" i="2"/>
  <c r="H95" i="2"/>
  <c r="H84" i="2"/>
  <c r="H85" i="2"/>
  <c r="H86" i="2"/>
  <c r="H87" i="2"/>
  <c r="H88" i="2"/>
  <c r="H89" i="2"/>
  <c r="H90" i="2"/>
  <c r="H83" i="2"/>
  <c r="H80" i="2"/>
  <c r="H72" i="2"/>
  <c r="H73" i="2"/>
  <c r="H74" i="2"/>
  <c r="H75" i="2"/>
  <c r="H76" i="2"/>
  <c r="H77" i="2"/>
  <c r="H78" i="2"/>
  <c r="H79" i="2"/>
  <c r="H71" i="2"/>
  <c r="H69" i="2"/>
  <c r="H68" i="2"/>
  <c r="H66" i="2"/>
  <c r="H65" i="2"/>
  <c r="H60" i="2"/>
  <c r="H59" i="2"/>
  <c r="H56" i="2"/>
  <c r="H55" i="2"/>
  <c r="H46" i="2"/>
  <c r="H47" i="2"/>
  <c r="H48" i="2"/>
  <c r="H49" i="2"/>
  <c r="H50" i="2"/>
  <c r="H51" i="2"/>
  <c r="H52" i="2"/>
  <c r="H45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26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3" i="2"/>
</calcChain>
</file>

<file path=xl/sharedStrings.xml><?xml version="1.0" encoding="utf-8"?>
<sst xmlns="http://schemas.openxmlformats.org/spreadsheetml/2006/main" count="1279" uniqueCount="360">
  <si>
    <t>도메인 지식</t>
    <phoneticPr fontId="2" type="noConversion"/>
  </si>
  <si>
    <t>기반 마케팅/행동 이론</t>
    <phoneticPr fontId="2" type="noConversion"/>
  </si>
  <si>
    <t>조작화 메커니즘 변수화</t>
    <phoneticPr fontId="2" type="noConversion"/>
  </si>
  <si>
    <t xml:space="preserve">대표 파생변수 및 수식 </t>
    <phoneticPr fontId="2" type="noConversion"/>
  </si>
  <si>
    <t>이론적 역할 및 기능</t>
    <phoneticPr fontId="2" type="noConversion"/>
  </si>
  <si>
    <t>① 구매/재구매 주기</t>
    <phoneticPr fontId="2" type="noConversion"/>
  </si>
  <si>
    <t>② 시계열적 반응</t>
    <phoneticPr fontId="2" type="noConversion"/>
  </si>
  <si>
    <t>③ 마케팅 피로도</t>
    <phoneticPr fontId="2" type="noConversion"/>
  </si>
  <si>
    <t>④ 마케팅 채널 효과성</t>
    <phoneticPr fontId="2" type="noConversion"/>
  </si>
  <si>
    <t>• 고객 생애 가치(CLV) 및 BTYD 모형 (Pareto/NBD, BG/NBD)
• 행동경제학 냉각기 효과</t>
    <phoneticPr fontId="2" type="noConversion"/>
  </si>
  <si>
    <t xml:space="preserve">• 상황 의존적 선호 (시간 표류)
• 유통 관리 캘린더 효과 (가처분 소득 변동)
• 생체 리듬과 인지 성과  </t>
    <phoneticPr fontId="2" type="noConversion"/>
  </si>
  <si>
    <t>• 정보 처리 이론 및 소비자 습관화 이론
• 광고 마모 효과 (Wearout/Weariness)
• 한계 효용 체감 법칙</t>
    <phoneticPr fontId="2" type="noConversion"/>
  </si>
  <si>
    <t>• 정보 이론 (엔트로피/신규성)
• AIDA/깔때기 및 옴니채널 경로 의존성</t>
    <phoneticPr fontId="2" type="noConversion"/>
  </si>
  <si>
    <t>• 과거 구매 간격 분포 기반 개인별 구매 사이클 단계 산출
• 구매 직후 냉각기 및 재구매 임계시점 확률 밀도 정량화</t>
    <phoneticPr fontId="2" type="noConversion"/>
  </si>
  <si>
    <t>• 원형 통계 기법(원형 좌표계 매핑)으로 선호 시간대 일치도 계산
• 급여일/분기말 근접도 가우시안 범프 함수 모델링</t>
    <phoneticPr fontId="2" type="noConversion"/>
  </si>
  <si>
    <t>• 반복 자극으로 인한 인지적 자원 고갈 및 회복 과정을 채널별 반감기 지수 감쇠 모델로 추적</t>
    <phoneticPr fontId="2" type="noConversion"/>
  </si>
  <si>
    <t>• 노출 빈도와 경과 시간을 결합한 복합 감쇠 함수 계산
• 성공 구매 경로와의 유사도 산출</t>
    <phoneticPr fontId="2" type="noConversion"/>
  </si>
  <si>
    <t>• 기저 구매 성향 및 잠재적 재구매 욕구 포착</t>
    <phoneticPr fontId="2" type="noConversion"/>
  </si>
  <si>
    <t>• 내재된 구매 욕구가 실제 행동으로 증폭되는 타이밍 조절</t>
    <phoneticPr fontId="2" type="noConversion"/>
  </si>
  <si>
    <t>• 과도한 노출 배제(1차 필터) 및 휴식기 이후 반응 반등 포착</t>
    <phoneticPr fontId="2" type="noConversion"/>
  </si>
  <si>
    <t>• 모호한 대상을 배제하고 전환 정밀도(Precision) 최적화</t>
    <phoneticPr fontId="2" type="noConversion"/>
  </si>
  <si>
    <t>Feature</t>
  </si>
  <si>
    <t>Category / Metric</t>
  </si>
  <si>
    <t>Non-purchased</t>
  </si>
  <si>
    <t>Purchased</t>
  </si>
  <si>
    <t>Statistics</t>
  </si>
  <si>
    <t>Mean ± SD</t>
  </si>
  <si>
    <t>5.44 ± 50.45</t>
  </si>
  <si>
    <t>20.48 ± 7.92</t>
  </si>
  <si>
    <t>$T$=-184.08, $p$&lt;0.001</t>
  </si>
  <si>
    <t>308,826 (3.87%)</t>
  </si>
  <si>
    <t>$\chi^2$=4709.65, $p$&lt;0.001</t>
  </si>
  <si>
    <t>7,680,765 (96.13%)</t>
  </si>
  <si>
    <t>8,172 (82.78%)</t>
  </si>
  <si>
    <t>5,118,139 (64.06%)</t>
  </si>
  <si>
    <t>9,550 (96.74%)</t>
  </si>
  <si>
    <t>$\chi^2$=4574.03, $p$&lt;0.001</t>
  </si>
  <si>
    <t>2,871,452 (35.94%)</t>
  </si>
  <si>
    <t>322 (3.26%)</t>
  </si>
  <si>
    <t>2,874,149 (35.97%)</t>
  </si>
  <si>
    <t>$\chi^2$=4581.60, $p$&lt;0.001</t>
  </si>
  <si>
    <t>5,115,442 (64.03%)</t>
  </si>
  <si>
    <t>703,325 (8.80%)</t>
  </si>
  <si>
    <t>8,171 (82.77%)</t>
  </si>
  <si>
    <t>$\chi^2$=66561.25, $p$&lt;0.001</t>
  </si>
  <si>
    <t>7,286,266 (91.20%)</t>
  </si>
  <si>
    <t>1,701 (17.23%)</t>
  </si>
  <si>
    <t>7,304,708 (91.43%)</t>
  </si>
  <si>
    <t>1,734 (17.56%)</t>
  </si>
  <si>
    <t>$\chi^2$=67972.34, $p$&lt;0.001</t>
  </si>
  <si>
    <t>684,883 (8.57%)</t>
  </si>
  <si>
    <t>8,138 (82.44%)</t>
  </si>
  <si>
    <t>2,393 (0.03%)</t>
  </si>
  <si>
    <t>0 (0.00%)</t>
  </si>
  <si>
    <t>$\chi^2$=68053.13, $p$&lt;0.001</t>
  </si>
  <si>
    <t>8,865 (0.11%)</t>
  </si>
  <si>
    <t>9 (0.09%)</t>
  </si>
  <si>
    <t>646 (0.01%)</t>
  </si>
  <si>
    <t>5 (0.05%)</t>
  </si>
  <si>
    <t>6,538 (0.08%)</t>
  </si>
  <si>
    <t>19 (0.19%)</t>
  </si>
  <si>
    <t>7,930,303 (99.26%)</t>
  </si>
  <si>
    <t>9,058 (91.75%)</t>
  </si>
  <si>
    <t>$\chi^2$=7434.54, $p$&lt;0.001</t>
  </si>
  <si>
    <t>59,288 (0.74%)</t>
  </si>
  <si>
    <t>814 (8.25%)</t>
  </si>
  <si>
    <t>7,933,635 (99.30%)</t>
  </si>
  <si>
    <t>8,242 (83.49%)</t>
  </si>
  <si>
    <t>$\chi^2$=34465.90, $p$&lt;0.001</t>
  </si>
  <si>
    <t>55,956 (0.70%)</t>
  </si>
  <si>
    <t>1,630 (16.51%)</t>
  </si>
  <si>
    <t>7,246,462 (90.70%)</t>
  </si>
  <si>
    <t>7,283 (73.77%)</t>
  </si>
  <si>
    <t>$\chi^2$=3339.06, $p$&lt;0.001</t>
  </si>
  <si>
    <t>743,129 (9.30%)</t>
  </si>
  <si>
    <t>2,589 (26.23%)</t>
  </si>
  <si>
    <t>364.52 ± 11.22</t>
  </si>
  <si>
    <t>305.98 ± 129.04</t>
  </si>
  <si>
    <t>$T$=45.08, $p$&lt;0.001</t>
  </si>
  <si>
    <t>7,530,276 (94.25%)</t>
  </si>
  <si>
    <t>7,754 (78.55%)</t>
  </si>
  <si>
    <t>$\chi^2$=4471.55, $p$&lt;0.001</t>
  </si>
  <si>
    <t>459,315 (5.75%)</t>
  </si>
  <si>
    <t>2,118 (21.45%)</t>
  </si>
  <si>
    <t>5,173,503 (64.75%)</t>
  </si>
  <si>
    <t>$\chi^2$=4420.48, $p$&lt;0.001</t>
  </si>
  <si>
    <t>2,816,088 (35.25%)</t>
  </si>
  <si>
    <t>3,218,367 (40.28%)</t>
  </si>
  <si>
    <t>429 (4.35%)</t>
  </si>
  <si>
    <t>$\chi^2$=5293.64, $p$&lt;0.001</t>
  </si>
  <si>
    <t>4,771,224 (59.72%)</t>
  </si>
  <si>
    <t>9,443 (95.65%)</t>
  </si>
  <si>
    <t>318,388 (3.99%)</t>
  </si>
  <si>
    <t>1,076 (10.90%)</t>
  </si>
  <si>
    <t>$\chi^2$=6423.87, $p$&lt;0.001</t>
  </si>
  <si>
    <t>140,927 (1.76%)</t>
  </si>
  <si>
    <t>1,042 (10.56%)</t>
  </si>
  <si>
    <t>2,316,044 (28.99%)</t>
  </si>
  <si>
    <t>1,715 (17.37%)</t>
  </si>
  <si>
    <t>1,134,135 (14.20%)</t>
  </si>
  <si>
    <t>1,226 (12.42%)</t>
  </si>
  <si>
    <t>708,551 (8.87%)</t>
  </si>
  <si>
    <t>1,404 (14.22%)</t>
  </si>
  <si>
    <t>1,235,672 (15.47%)</t>
  </si>
  <si>
    <t>1,361 (13.79%)</t>
  </si>
  <si>
    <t>2,135,874 (26.73%)</t>
  </si>
  <si>
    <t>2,048 (20.75%)</t>
  </si>
  <si>
    <t>7,832,690 (98.04%)</t>
  </si>
  <si>
    <t>1,841 (18.65%)</t>
  </si>
  <si>
    <t>$\chi^2$=307695.49, $p$&lt;0.001</t>
  </si>
  <si>
    <t>156,901 (1.96%)</t>
  </si>
  <si>
    <t>8,031 (81.35%)</t>
  </si>
  <si>
    <t>559,105 (7.00%)</t>
  </si>
  <si>
    <t>$\chi^2$=85156.18, $p$&lt;0.001</t>
  </si>
  <si>
    <t>7,430,486 (93.00%)</t>
  </si>
  <si>
    <t>4185.34 ± 395.93</t>
  </si>
  <si>
    <t>3521.90 ± 1632.00</t>
  </si>
  <si>
    <t>$T$=40.39, $p$&lt;0.001</t>
  </si>
  <si>
    <t>0.03 ± 0.15</t>
  </si>
  <si>
    <t>0.17 ± 0.37</t>
  </si>
  <si>
    <t>$T$=-40.32, $p$&lt;0.001</t>
  </si>
  <si>
    <t>7,966,314 (99.71%)</t>
  </si>
  <si>
    <t>8,073 (81.78%)</t>
  </si>
  <si>
    <t>$\chi^2$=312364.18, $p$&lt;0.001</t>
  </si>
  <si>
    <t>16,890 (0.21%)</t>
  </si>
  <si>
    <t>98 (0.99%)</t>
  </si>
  <si>
    <t>670 (0.01%)</t>
  </si>
  <si>
    <t>4 (0.04%)</t>
  </si>
  <si>
    <t>5,717 (0.07%)</t>
  </si>
  <si>
    <t>1,697 (17.19%)</t>
  </si>
  <si>
    <t>7,828,378 (97.98%)</t>
  </si>
  <si>
    <t>$\chi^2$=299613.34, $p$&lt;0.001</t>
  </si>
  <si>
    <t>161,213 (2.02%)</t>
  </si>
  <si>
    <t>563,417 (7.05%)</t>
  </si>
  <si>
    <t>$\chi^2$=84441.83, $p$&lt;0.001</t>
  </si>
  <si>
    <t>7,426,174 (92.95%)</t>
  </si>
  <si>
    <t>0.00 ± 0.04</t>
  </si>
  <si>
    <t>0.12 ± 0.31</t>
  </si>
  <si>
    <t>$T$=-38.62, $p$&lt;0.001</t>
  </si>
  <si>
    <t>589.88 ± 1506.69</t>
  </si>
  <si>
    <t>244.54 ± 897.33</t>
  </si>
  <si>
    <t>$T$=38.17, $p$&lt;0.001</t>
  </si>
  <si>
    <t>7,985,033 (99.94%)</t>
  </si>
  <si>
    <t>9,780 (99.07%)</t>
  </si>
  <si>
    <t>$\chi^2$=1284.03, $p$&lt;0.001</t>
  </si>
  <si>
    <t>4,558 (0.06%)</t>
  </si>
  <si>
    <t>92 (0.93%)</t>
  </si>
  <si>
    <t>2380.17 ± 1685.01</t>
  </si>
  <si>
    <t>1842.70 ± 1508.20</t>
  </si>
  <si>
    <t>$T$=35.38, $p$&lt;0.001</t>
  </si>
  <si>
    <t>0.00 ± 0.01</t>
  </si>
  <si>
    <t>0.09 ± 0.26</t>
  </si>
  <si>
    <t>$T$=-35.22, $p$&lt;0.001</t>
  </si>
  <si>
    <t>5,427,420 (67.93%)</t>
  </si>
  <si>
    <t>5,215 (52.83%)</t>
  </si>
  <si>
    <t>$\chi^2$=1031.65, $p$&lt;0.001</t>
  </si>
  <si>
    <t>2,562,171 (32.07%)</t>
  </si>
  <si>
    <t>4,657 (47.17%)</t>
  </si>
  <si>
    <t>0.03 ± 0.18</t>
  </si>
  <si>
    <t>0.31 ± 0.86</t>
  </si>
  <si>
    <t>$T$=-32.84, $p$&lt;0.001</t>
  </si>
  <si>
    <t>0.01 ± 0.06</t>
  </si>
  <si>
    <t>0.07 ± 0.22</t>
  </si>
  <si>
    <t>$T$=-30.09, $p$&lt;0.001</t>
  </si>
  <si>
    <t>0.07 ± 0.21</t>
  </si>
  <si>
    <t>$T$=-28.75, $p$&lt;0.001</t>
  </si>
  <si>
    <t>0.00 ± 0.11</t>
  </si>
  <si>
    <t>0.40 ± 1.38</t>
  </si>
  <si>
    <t>$T$=-28.41, $p$&lt;0.001</t>
  </si>
  <si>
    <t>7,746,562 (96.96%)</t>
  </si>
  <si>
    <t>9,109 (92.27%)</t>
  </si>
  <si>
    <t>$\chi^2$=731.51, $p$&lt;0.001</t>
  </si>
  <si>
    <t>243,029 (3.04%)</t>
  </si>
  <si>
    <t>763 (7.73%)</t>
  </si>
  <si>
    <t>2404.79 ± 981.90</t>
  </si>
  <si>
    <t>2049.81 ± 1389.38</t>
  </si>
  <si>
    <t>$T$=25.38, $p$&lt;0.001</t>
  </si>
  <si>
    <t>3,707,399 (46.40%)</t>
  </si>
  <si>
    <t>5,716 (57.90%)</t>
  </si>
  <si>
    <t>$\chi^2$=523.66, $p$&lt;0.001</t>
  </si>
  <si>
    <t>4,282,192 (53.60%)</t>
  </si>
  <si>
    <t>4,156 (42.10%)</t>
  </si>
  <si>
    <t>0.96 ± 1.55</t>
  </si>
  <si>
    <t>1.55 ± 2.73</t>
  </si>
  <si>
    <t>$T$=-21.54, $p$&lt;0.001</t>
  </si>
  <si>
    <t>334,006 (4.18%)</t>
  </si>
  <si>
    <t>353 (3.58%)</t>
  </si>
  <si>
    <t>$\chi^2$=471.37, $p$&lt;0.001</t>
  </si>
  <si>
    <t>214,796 (2.69%)</t>
  </si>
  <si>
    <t>317 (3.21%)</t>
  </si>
  <si>
    <t>799,598 (10.01%)</t>
  </si>
  <si>
    <t>822 (8.33%)</t>
  </si>
  <si>
    <t>957,314 (11.98%)</t>
  </si>
  <si>
    <t>970 (9.83%)</t>
  </si>
  <si>
    <t>976,703 (12.22%)</t>
  </si>
  <si>
    <t>1,070 (10.84%)</t>
  </si>
  <si>
    <t>1,000,788 (12.53%)</t>
  </si>
  <si>
    <t>1,632 (16.53%)</t>
  </si>
  <si>
    <t>1,243,393 (15.56%)</t>
  </si>
  <si>
    <t>1,356 (13.74%)</t>
  </si>
  <si>
    <t>919,872 (11.51%)</t>
  </si>
  <si>
    <t>1,617 (16.38%)</t>
  </si>
  <si>
    <t>1,002,120 (12.54%)</t>
  </si>
  <si>
    <t>1,176 (11.91%)</t>
  </si>
  <si>
    <t>541,001 (6.77%)</t>
  </si>
  <si>
    <t>559 (5.66%)</t>
  </si>
  <si>
    <t>1084.59 ± 2071.62</t>
  </si>
  <si>
    <t>761.29 ± 1605.05</t>
  </si>
  <si>
    <t>$T$=19.99, $p$&lt;0.001</t>
  </si>
  <si>
    <t>0.93 ± 1.40</t>
  </si>
  <si>
    <t>1.26 ± 1.79</t>
  </si>
  <si>
    <t>$T$=-18.62, $p$&lt;0.001</t>
  </si>
  <si>
    <t>7,987,640 (99.98%)</t>
  </si>
  <si>
    <t>9,841 (99.69%)</t>
  </si>
  <si>
    <t>$\chi^2$=322.25, $p$&lt;0.001</t>
  </si>
  <si>
    <t>1,951 (0.02%)</t>
  </si>
  <si>
    <t>31 (0.31%)</t>
  </si>
  <si>
    <t>7,587,387 (94.97%)</t>
  </si>
  <si>
    <t>9,765 (98.92%)</t>
  </si>
  <si>
    <t>$\chi^2$=321.30, $p$&lt;0.001</t>
  </si>
  <si>
    <t>402,204 (5.03%)</t>
  </si>
  <si>
    <t>107 (1.08%)</t>
  </si>
  <si>
    <t>0.30 ± 0.41</t>
  </si>
  <si>
    <t>0.23 ± 0.34</t>
  </si>
  <si>
    <t>$T$=18.02, $p$&lt;0.001</t>
  </si>
  <si>
    <t>0.12 ± 4.06</t>
  </si>
  <si>
    <t>3.27 ± 20.06</t>
  </si>
  <si>
    <t>$T$=-15.58, $p$&lt;0.001</t>
  </si>
  <si>
    <t>0.19 ± 0.04</t>
  </si>
  <si>
    <t>0.18 ± 0.04</t>
  </si>
  <si>
    <t>$T$=15.33, $p$&lt;0.001</t>
  </si>
  <si>
    <t>417.24 ± 1484.70</t>
  </si>
  <si>
    <t>724.89 ± 2236.08</t>
  </si>
  <si>
    <t>$T$=-13.67, $p$&lt;0.001</t>
  </si>
  <si>
    <t>1,812,600 (22.69%)</t>
  </si>
  <si>
    <t>2,313 (23.43%)</t>
  </si>
  <si>
    <t>$\chi^2$=198.54, $p$&lt;0.001</t>
  </si>
  <si>
    <t>1,830,175 (22.91%)</t>
  </si>
  <si>
    <t>2,661 (26.96%)</t>
  </si>
  <si>
    <t>1,758,890 (22.01%)</t>
  </si>
  <si>
    <t>1,782 (18.05%)</t>
  </si>
  <si>
    <t>1,903,539 (23.83%)</t>
  </si>
  <si>
    <t>2,110 (21.37%)</t>
  </si>
  <si>
    <t>684,387 (8.57%)</t>
  </si>
  <si>
    <t>1,006 (10.19%)</t>
  </si>
  <si>
    <t>0.13 ± 31.41</t>
  </si>
  <si>
    <t>0.00 ± 0.00</t>
  </si>
  <si>
    <t>$T$=12.03, $p$&lt;0.001</t>
  </si>
  <si>
    <t>178.87 ± 619.24</t>
  </si>
  <si>
    <t>125.37 ± 458.91</t>
  </si>
  <si>
    <t>$T$=11.57, $p$&lt;0.001</t>
  </si>
  <si>
    <t>6,844,363 (85.67%)</t>
  </si>
  <si>
    <t>8,813 (89.27%)</t>
  </si>
  <si>
    <t>$\chi^2$=104.18, $p$&lt;0.001</t>
  </si>
  <si>
    <t>1,145,228 (14.33%)</t>
  </si>
  <si>
    <t>1,059 (10.73%)</t>
  </si>
  <si>
    <t>0.08 ± 0.21</t>
  </si>
  <si>
    <t>0.06 ± 0.19</t>
  </si>
  <si>
    <t>$T$=8.37, $p$&lt;0.001</t>
  </si>
  <si>
    <t>0.00 ± 0.05</t>
  </si>
  <si>
    <t>$T$=-4.56, $p$&lt;0.001</t>
  </si>
  <si>
    <t>7,988,945 (99.99%)</t>
  </si>
  <si>
    <t>9,867 (99.95%)</t>
  </si>
  <si>
    <t>$\chi^2$=17.03, $p$&lt;0.001</t>
  </si>
  <si>
    <t>7,983,053 (99.92%)</t>
  </si>
  <si>
    <t>9,853 (99.81%)</t>
  </si>
  <si>
    <t>$\chi^2$=13.41, $p$&lt;0.001</t>
  </si>
  <si>
    <t>0.23 ± 0.67</t>
  </si>
  <si>
    <t>0.26 ± 0.70</t>
  </si>
  <si>
    <t>$T$=-3.49, $p$&lt;0.001</t>
  </si>
  <si>
    <t>7232.53 ± 99.83</t>
  </si>
  <si>
    <t>7226.40 ± 214.20</t>
  </si>
  <si>
    <t>$T$=2.84, $p$=0.00</t>
  </si>
  <si>
    <t>7,986,214 (99.96%)</t>
  </si>
  <si>
    <t>9,864 (99.92%)</t>
  </si>
  <si>
    <t>$\chi^2$=2.65, $p$=0.10</t>
  </si>
  <si>
    <t>3,377 (0.04%)</t>
  </si>
  <si>
    <t>8 (0.08%)</t>
  </si>
  <si>
    <t>7,986,969 (99.97%)</t>
  </si>
  <si>
    <t>9,872 (100.00%)</t>
  </si>
  <si>
    <t>$\chi^2$=2.32, $p$=0.13</t>
  </si>
  <si>
    <t>2,622 (0.03%)</t>
  </si>
  <si>
    <t>7,987,198 (99.97%)</t>
  </si>
  <si>
    <t>$\chi^2$=2.04, $p$=0.15</t>
  </si>
  <si>
    <t>7,980,726 (99.89%)</t>
  </si>
  <si>
    <t>9,863 (99.91%)</t>
  </si>
  <si>
    <t>$\chi^2$=0.19, $p$=0.66</t>
  </si>
  <si>
    <t>7,989,516 (100.00%)</t>
  </si>
  <si>
    <t>$\chi^2$=0.00, $p$=1.00</t>
  </si>
  <si>
    <t>75 (0.00%)</t>
  </si>
  <si>
    <t>1,700 (17.22%)</t>
    <phoneticPr fontId="2" type="noConversion"/>
  </si>
  <si>
    <t>베이스라인</t>
    <phoneticPr fontId="2" type="noConversion"/>
  </si>
  <si>
    <t>마케팅 피로도 패턴</t>
    <phoneticPr fontId="2" type="noConversion"/>
  </si>
  <si>
    <t>마케팅 채널 효과성 패턴</t>
    <phoneticPr fontId="2" type="noConversion"/>
  </si>
  <si>
    <t>시계열적 반응 패턴</t>
    <phoneticPr fontId="2" type="noConversion"/>
  </si>
  <si>
    <t>구매/재구매 주기 패턴</t>
    <phoneticPr fontId="2" type="noConversion"/>
  </si>
  <si>
    <t>Group</t>
    <phoneticPr fontId="2" type="noConversion"/>
  </si>
  <si>
    <t>캠페인 지속 시간(평균)</t>
  </si>
  <si>
    <t>불만 접수 경과 시간(평균)</t>
  </si>
  <si>
    <t>가입 기간(첫 구매 경과)</t>
  </si>
  <si>
    <t>최종 클릭 경과 시간(평균)</t>
  </si>
  <si>
    <t>최종 오픈 경과 시간(평균)</t>
  </si>
  <si>
    <t>구독 취소 경과 시간(평균)</t>
  </si>
  <si>
    <t>주말 여부</t>
  </si>
  <si>
    <t>주차 정보</t>
  </si>
  <si>
    <t>캠페인 유형: 전체 유저</t>
  </si>
  <si>
    <t>캠페인 유형: 기타 거래</t>
  </si>
  <si>
    <t>캠페인 유형: 특정 유저행동</t>
  </si>
  <si>
    <t>캠페인 채널: 이메일</t>
  </si>
  <si>
    <t>캠페인 채널: 모바일</t>
  </si>
  <si>
    <t>캠페인 채널: 멀티채널</t>
  </si>
  <si>
    <t>캠페인 채널: SMS</t>
  </si>
  <si>
    <t>캠페인 주제: 이벤트</t>
  </si>
  <si>
    <t>캠페인 주제: 생일 축하</t>
  </si>
  <si>
    <t>캠페인 주제: 리뷰 요청</t>
  </si>
  <si>
    <t>캠페인 주제: 연관 상품 추천</t>
  </si>
  <si>
    <t>캠페인 주제: 기타</t>
  </si>
  <si>
    <t>캠페인 주제: 할인 정보</t>
  </si>
  <si>
    <t>발송 채널: 이메일</t>
  </si>
  <si>
    <t>발송 채널: 모바일 푸시</t>
  </si>
  <si>
    <t>발송 채널: 웹 푸시</t>
  </si>
  <si>
    <t>채널별 특정 주제 캠페인 오픈율(30일 내)</t>
  </si>
  <si>
    <t>마지막 구매 경과일</t>
  </si>
  <si>
    <t>이메일 계정: 지메일</t>
  </si>
  <si>
    <t>이메일 계정: Mail.ru</t>
  </si>
  <si>
    <t>이메일 계정: 기타</t>
  </si>
  <si>
    <t>선호 요일 일치도</t>
  </si>
  <si>
    <t>분기 말 근접도</t>
  </si>
  <si>
    <t>마케팅 피로도</t>
  </si>
  <si>
    <t>선호 시간대 일치도</t>
  </si>
  <si>
    <t>마지막 접촉 경과 시간</t>
  </si>
  <si>
    <t>이메일 경과 시간</t>
  </si>
  <si>
    <t>푸시 경과 시간</t>
  </si>
  <si>
    <t>성공 캠페인 유사도</t>
  </si>
  <si>
    <t>성공 경로 일치도</t>
  </si>
  <si>
    <t>급여일 근접도</t>
  </si>
  <si>
    <t>구매 후 불응기</t>
  </si>
  <si>
    <t>재구매 준비도</t>
  </si>
  <si>
    <t>주제 신선도</t>
  </si>
  <si>
    <t>채널 메세지 유형: 전체 유저 발송</t>
  </si>
  <si>
    <t>채널 메세지 유형: 거래성 발송</t>
  </si>
  <si>
    <t>채널 메세지 유형: 특정 유저행동 발송</t>
  </si>
  <si>
    <t>메시지 수신: 미정의/기타</t>
  </si>
  <si>
    <t>메시지 수신: 데스크탑</t>
  </si>
  <si>
    <t>메시지 수신: 패블릿</t>
  </si>
  <si>
    <t>메시지 수신: 스마트폰</t>
  </si>
  <si>
    <t>메시지 수신: 태블릿</t>
  </si>
  <si>
    <t>메시지 클릭 여부</t>
  </si>
  <si>
    <t>메시지 오픈 여부</t>
  </si>
  <si>
    <t>메시지 구독 취소 여부</t>
  </si>
  <si>
    <t>주제 노출 수(7일)</t>
  </si>
  <si>
    <t>주제 경과 시간</t>
  </si>
  <si>
    <t>총 캠페인 수</t>
  </si>
  <si>
    <t>총 메시지 수신 수</t>
  </si>
  <si>
    <t>총 구매 횟수</t>
  </si>
  <si>
    <t>발송 간격 표준편차</t>
  </si>
  <si>
    <t>유저 클릭율(30일 내)</t>
  </si>
  <si>
    <t>유저 오픈 횟수(30일 내)</t>
  </si>
  <si>
    <t>유저 오픈율(30일 내)</t>
  </si>
  <si>
    <t>Index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</si>
</sst>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2" fontId="1" fillId="0" borderId="1" xfId="41" applyNumberFormat="1" applyBorder="1">
      <alignment vertical="center"/>
    </xf>
    <xf numFmtId="0" fontId="1" fillId="0" borderId="1" xfId="41" applyBorder="1">
      <alignment vertical="center"/>
    </xf>
    <xf numFmtId="0" fontId="1" fillId="0" borderId="0" xfId="41">
      <alignment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79D3601D-7338-4969-BF0A-DB55A8F82562}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95ED91E3-D686-4C22-A1D6-96E08ECD3A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2" sqref="A1:E5"/>
    </sheetView>
  </sheetViews>
  <sheetFormatPr defaultRowHeight="16.899999999999999" x14ac:dyDescent="0.6"/>
  <cols>
    <col min="1" max="1" width="25" bestFit="1" customWidth="1"/>
    <col min="2" max="2" width="20.5" bestFit="1" customWidth="1"/>
    <col min="3" max="3" width="21.625" bestFit="1" customWidth="1"/>
    <col min="4" max="4" width="21.0625" bestFit="1" customWidth="1"/>
    <col min="5" max="5" width="18.375" bestFit="1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1.25" x14ac:dyDescent="0.6">
      <c r="A2" s="1" t="s">
        <v>5</v>
      </c>
      <c r="B2" s="2" t="s">
        <v>9</v>
      </c>
      <c r="C2" s="2" t="s">
        <v>13</v>
      </c>
      <c r="D2" s="1"/>
      <c r="E2" s="1" t="s">
        <v>17</v>
      </c>
    </row>
    <row r="3" spans="1:5" ht="101.25" x14ac:dyDescent="0.6">
      <c r="A3" s="1" t="s">
        <v>6</v>
      </c>
      <c r="B3" s="2" t="s">
        <v>10</v>
      </c>
      <c r="C3" s="2" t="s">
        <v>14</v>
      </c>
      <c r="D3" s="1"/>
      <c r="E3" s="1" t="s">
        <v>18</v>
      </c>
    </row>
    <row r="4" spans="1:5" ht="84.4" x14ac:dyDescent="0.6">
      <c r="A4" s="1" t="s">
        <v>7</v>
      </c>
      <c r="B4" s="2" t="s">
        <v>11</v>
      </c>
      <c r="C4" s="1" t="s">
        <v>15</v>
      </c>
      <c r="D4" s="1"/>
      <c r="E4" s="1" t="s">
        <v>19</v>
      </c>
    </row>
    <row r="5" spans="1:5" ht="84.4" x14ac:dyDescent="0.6">
      <c r="A5" s="1" t="s">
        <v>8</v>
      </c>
      <c r="B5" s="2" t="s">
        <v>12</v>
      </c>
      <c r="C5" s="2" t="s">
        <v>16</v>
      </c>
      <c r="D5" s="1"/>
      <c r="E5" s="1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EDA1-4F79-4B9A-BE94-C4C437D25FC5}">
  <dimension ref="A1:I121"/>
  <sheetViews>
    <sheetView workbookViewId="0">
      <selection activeCell="E37" sqref="E37"/>
    </sheetView>
  </sheetViews>
  <sheetFormatPr defaultRowHeight="16.899999999999999" x14ac:dyDescent="0.6"/>
  <cols>
    <col min="2" max="2" width="22.3125" bestFit="1" customWidth="1"/>
    <col min="3" max="3" width="30.5625" bestFit="1" customWidth="1"/>
    <col min="4" max="4" width="18.5" bestFit="1" customWidth="1"/>
    <col min="5" max="5" width="18.3125" bestFit="1" customWidth="1"/>
    <col min="6" max="6" width="17.0625" bestFit="1" customWidth="1"/>
    <col min="7" max="7" width="22" bestFit="1" customWidth="1"/>
    <col min="8" max="8" width="18.3125" bestFit="1" customWidth="1"/>
    <col min="9" max="9" width="30.0625" bestFit="1" customWidth="1"/>
  </cols>
  <sheetData>
    <row r="1" spans="1:9" x14ac:dyDescent="0.6">
      <c r="A1" t="s">
        <v>359</v>
      </c>
      <c r="B1" t="s">
        <v>296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23</v>
      </c>
      <c r="H1" s="5" t="s">
        <v>24</v>
      </c>
      <c r="I1" s="5" t="s">
        <v>25</v>
      </c>
    </row>
    <row r="2" spans="1:9" x14ac:dyDescent="0.6">
      <c r="A2">
        <v>0</v>
      </c>
      <c r="B2" t="s">
        <v>291</v>
      </c>
      <c r="C2" s="5" t="s">
        <v>297</v>
      </c>
      <c r="D2" s="5" t="s">
        <v>26</v>
      </c>
      <c r="E2" s="5" t="s">
        <v>27</v>
      </c>
      <c r="F2" s="5" t="s">
        <v>28</v>
      </c>
      <c r="G2" s="5" t="s">
        <v>27</v>
      </c>
      <c r="H2" s="5" t="s">
        <v>28</v>
      </c>
      <c r="I2" s="5" t="s">
        <v>29</v>
      </c>
    </row>
    <row r="3" spans="1:9" x14ac:dyDescent="0.6">
      <c r="A3">
        <v>0</v>
      </c>
      <c r="B3" t="s">
        <v>291</v>
      </c>
      <c r="C3" s="5" t="s">
        <v>342</v>
      </c>
      <c r="D3" s="5">
        <v>0</v>
      </c>
      <c r="E3" s="5" t="s">
        <v>30</v>
      </c>
      <c r="F3" s="5" t="s">
        <v>290</v>
      </c>
      <c r="G3" s="5" t="str">
        <f>TEXT(SUBSTITUTE(LEFT(E3, FIND("(", E3) - 1), ",", "") * 172, "#,##0") &amp; " " &amp; MID(E3, FIND("(", E3), LEN(E3))</f>
        <v>53,118,072 (3.87%)</v>
      </c>
      <c r="H3" s="5" t="str">
        <f>TEXT(SUBSTITUTE(LEFT(F3, FIND("(", F3) - 1), ",", "") * 172, "#,##0") &amp; " " &amp; MID(F3, FIND("(", F3), LEN(F3))</f>
        <v>292,400 (17.22%)</v>
      </c>
      <c r="I3" s="5" t="s">
        <v>31</v>
      </c>
    </row>
    <row r="4" spans="1:9" x14ac:dyDescent="0.6">
      <c r="A4">
        <v>0</v>
      </c>
      <c r="B4" t="s">
        <v>291</v>
      </c>
      <c r="C4" s="5" t="s">
        <v>342</v>
      </c>
      <c r="D4" s="5">
        <v>1</v>
      </c>
      <c r="E4" s="5" t="s">
        <v>32</v>
      </c>
      <c r="F4" s="5" t="s">
        <v>33</v>
      </c>
      <c r="G4" s="5" t="str">
        <f t="shared" ref="G4:G42" si="0">TEXT(SUBSTITUTE(LEFT(E4, FIND("(", E4) - 1), ",", "") * 172, "#,##0") &amp; " " &amp; MID(E4, FIND("(", E4), LEN(E4))</f>
        <v>1,321,091,580 (96.13%)</v>
      </c>
      <c r="H4" s="5" t="str">
        <f t="shared" ref="H4:H42" si="1">TEXT(SUBSTITUTE(LEFT(F4, FIND("(", F4) - 1), ",", "") * 172, "#,##0") &amp; " " &amp; MID(F4, FIND("(", F4), LEN(F4))</f>
        <v>1,405,584 (82.78%)</v>
      </c>
      <c r="I4" s="5"/>
    </row>
    <row r="5" spans="1:9" x14ac:dyDescent="0.6">
      <c r="A5">
        <v>0</v>
      </c>
      <c r="B5" t="s">
        <v>291</v>
      </c>
      <c r="C5" s="5" t="s">
        <v>319</v>
      </c>
      <c r="D5" s="5">
        <v>0</v>
      </c>
      <c r="E5" s="5" t="s">
        <v>34</v>
      </c>
      <c r="F5" s="5" t="s">
        <v>35</v>
      </c>
      <c r="G5" s="5" t="str">
        <f t="shared" si="0"/>
        <v>880,319,908 (64.06%)</v>
      </c>
      <c r="H5" s="5" t="str">
        <f t="shared" si="1"/>
        <v>1,642,600 (96.74%)</v>
      </c>
      <c r="I5" s="5" t="s">
        <v>36</v>
      </c>
    </row>
    <row r="6" spans="1:9" x14ac:dyDescent="0.6">
      <c r="A6">
        <v>0</v>
      </c>
      <c r="B6" t="s">
        <v>291</v>
      </c>
      <c r="C6" s="5" t="s">
        <v>319</v>
      </c>
      <c r="D6" s="5">
        <v>1</v>
      </c>
      <c r="E6" s="5" t="s">
        <v>37</v>
      </c>
      <c r="F6" s="5" t="s">
        <v>38</v>
      </c>
      <c r="G6" s="5" t="str">
        <f t="shared" si="0"/>
        <v>493,889,744 (35.94%)</v>
      </c>
      <c r="H6" s="5" t="str">
        <f t="shared" si="1"/>
        <v>55,384 (3.26%)</v>
      </c>
      <c r="I6" s="5"/>
    </row>
    <row r="7" spans="1:9" x14ac:dyDescent="0.6">
      <c r="A7">
        <v>0</v>
      </c>
      <c r="B7" t="s">
        <v>291</v>
      </c>
      <c r="C7" s="5" t="s">
        <v>318</v>
      </c>
      <c r="D7" s="5">
        <v>0</v>
      </c>
      <c r="E7" s="5" t="s">
        <v>39</v>
      </c>
      <c r="F7" s="5" t="s">
        <v>38</v>
      </c>
      <c r="G7" s="5" t="str">
        <f t="shared" si="0"/>
        <v>494,353,628 (35.97%)</v>
      </c>
      <c r="H7" s="5" t="str">
        <f t="shared" si="1"/>
        <v>55,384 (3.26%)</v>
      </c>
      <c r="I7" s="5" t="s">
        <v>40</v>
      </c>
    </row>
    <row r="8" spans="1:9" x14ac:dyDescent="0.6">
      <c r="A8">
        <v>0</v>
      </c>
      <c r="B8" t="s">
        <v>291</v>
      </c>
      <c r="C8" s="5" t="s">
        <v>318</v>
      </c>
      <c r="D8" s="5">
        <v>1</v>
      </c>
      <c r="E8" s="5" t="s">
        <v>41</v>
      </c>
      <c r="F8" s="5" t="s">
        <v>35</v>
      </c>
      <c r="G8" s="5" t="str">
        <f t="shared" si="0"/>
        <v>879,856,024 (64.03%)</v>
      </c>
      <c r="H8" s="5" t="str">
        <f t="shared" si="1"/>
        <v>1,642,600 (96.74%)</v>
      </c>
      <c r="I8" s="5"/>
    </row>
    <row r="9" spans="1:9" x14ac:dyDescent="0.6">
      <c r="A9">
        <v>0</v>
      </c>
      <c r="B9" t="s">
        <v>291</v>
      </c>
      <c r="C9" s="5" t="s">
        <v>317</v>
      </c>
      <c r="D9" s="5">
        <v>0</v>
      </c>
      <c r="E9" s="5" t="s">
        <v>42</v>
      </c>
      <c r="F9" s="5" t="s">
        <v>43</v>
      </c>
      <c r="G9" s="5" t="str">
        <f t="shared" si="0"/>
        <v>120,971,900 (8.80%)</v>
      </c>
      <c r="H9" s="5" t="str">
        <f t="shared" si="1"/>
        <v>1,405,412 (82.77%)</v>
      </c>
      <c r="I9" s="5" t="s">
        <v>44</v>
      </c>
    </row>
    <row r="10" spans="1:9" x14ac:dyDescent="0.6">
      <c r="A10">
        <v>0</v>
      </c>
      <c r="B10" t="s">
        <v>291</v>
      </c>
      <c r="C10" s="5" t="s">
        <v>317</v>
      </c>
      <c r="D10" s="5">
        <v>1</v>
      </c>
      <c r="E10" s="5" t="s">
        <v>45</v>
      </c>
      <c r="F10" s="5" t="s">
        <v>46</v>
      </c>
      <c r="G10" s="5" t="str">
        <f t="shared" si="0"/>
        <v>1,253,237,752 (91.20%)</v>
      </c>
      <c r="H10" s="5" t="str">
        <f t="shared" si="1"/>
        <v>292,572 (17.23%)</v>
      </c>
      <c r="I10" s="5"/>
    </row>
    <row r="11" spans="1:9" x14ac:dyDescent="0.6">
      <c r="A11">
        <v>0</v>
      </c>
      <c r="B11" t="s">
        <v>291</v>
      </c>
      <c r="C11" s="5" t="s">
        <v>316</v>
      </c>
      <c r="D11" s="5">
        <v>0</v>
      </c>
      <c r="E11" s="5" t="s">
        <v>47</v>
      </c>
      <c r="F11" s="5" t="s">
        <v>48</v>
      </c>
      <c r="G11" s="5" t="str">
        <f t="shared" si="0"/>
        <v>1,256,409,776 (91.43%)</v>
      </c>
      <c r="H11" s="5" t="str">
        <f t="shared" si="1"/>
        <v>298,248 (17.56%)</v>
      </c>
      <c r="I11" s="5" t="s">
        <v>49</v>
      </c>
    </row>
    <row r="12" spans="1:9" x14ac:dyDescent="0.6">
      <c r="A12">
        <v>0</v>
      </c>
      <c r="B12" t="s">
        <v>291</v>
      </c>
      <c r="C12" s="5" t="s">
        <v>316</v>
      </c>
      <c r="D12" s="5">
        <v>1</v>
      </c>
      <c r="E12" s="5" t="s">
        <v>50</v>
      </c>
      <c r="F12" s="5" t="s">
        <v>51</v>
      </c>
      <c r="G12" s="5" t="str">
        <f t="shared" si="0"/>
        <v>117,799,876 (8.57%)</v>
      </c>
      <c r="H12" s="5" t="str">
        <f t="shared" si="1"/>
        <v>1,399,736 (82.44%)</v>
      </c>
      <c r="I12" s="5"/>
    </row>
    <row r="13" spans="1:9" x14ac:dyDescent="0.6">
      <c r="A13">
        <v>4</v>
      </c>
      <c r="B13" t="s">
        <v>293</v>
      </c>
      <c r="C13" s="5" t="s">
        <v>350</v>
      </c>
      <c r="D13" s="5">
        <v>0</v>
      </c>
      <c r="E13" s="5" t="s">
        <v>52</v>
      </c>
      <c r="F13" s="5" t="s">
        <v>53</v>
      </c>
      <c r="G13" s="5" t="str">
        <f t="shared" si="0"/>
        <v>411,596 (0.03%)</v>
      </c>
      <c r="H13" s="5" t="str">
        <f t="shared" si="1"/>
        <v>0 (0.00%)</v>
      </c>
      <c r="I13" s="5" t="s">
        <v>54</v>
      </c>
    </row>
    <row r="14" spans="1:9" x14ac:dyDescent="0.6">
      <c r="A14">
        <v>4</v>
      </c>
      <c r="B14" t="s">
        <v>293</v>
      </c>
      <c r="C14" s="5" t="s">
        <v>350</v>
      </c>
      <c r="D14" s="5">
        <v>1</v>
      </c>
      <c r="E14" s="5" t="s">
        <v>55</v>
      </c>
      <c r="F14" s="5" t="s">
        <v>56</v>
      </c>
      <c r="G14" s="5" t="str">
        <f t="shared" si="0"/>
        <v>1,524,780 (0.11%)</v>
      </c>
      <c r="H14" s="5" t="str">
        <f t="shared" si="1"/>
        <v>1,548 (0.09%)</v>
      </c>
      <c r="I14" s="5"/>
    </row>
    <row r="15" spans="1:9" x14ac:dyDescent="0.6">
      <c r="A15">
        <v>4</v>
      </c>
      <c r="B15" t="s">
        <v>293</v>
      </c>
      <c r="C15" s="5" t="s">
        <v>350</v>
      </c>
      <c r="D15" s="5">
        <v>2</v>
      </c>
      <c r="E15" s="5" t="s">
        <v>57</v>
      </c>
      <c r="F15" s="5" t="s">
        <v>58</v>
      </c>
      <c r="G15" s="5" t="str">
        <f t="shared" si="0"/>
        <v>111,112 (0.01%)</v>
      </c>
      <c r="H15" s="5" t="str">
        <f t="shared" si="1"/>
        <v>860 (0.05%)</v>
      </c>
      <c r="I15" s="5"/>
    </row>
    <row r="16" spans="1:9" x14ac:dyDescent="0.6">
      <c r="A16">
        <v>4</v>
      </c>
      <c r="B16" t="s">
        <v>293</v>
      </c>
      <c r="C16" s="5" t="s">
        <v>350</v>
      </c>
      <c r="D16" s="5">
        <v>3</v>
      </c>
      <c r="E16" s="5" t="s">
        <v>59</v>
      </c>
      <c r="F16" s="5" t="s">
        <v>60</v>
      </c>
      <c r="G16" s="5" t="str">
        <f t="shared" si="0"/>
        <v>1,124,536 (0.08%)</v>
      </c>
      <c r="H16" s="5" t="str">
        <f t="shared" si="1"/>
        <v>3,268 (0.19%)</v>
      </c>
      <c r="I16" s="5"/>
    </row>
    <row r="17" spans="1:9" x14ac:dyDescent="0.6">
      <c r="A17">
        <v>4</v>
      </c>
      <c r="B17" t="s">
        <v>293</v>
      </c>
      <c r="C17" s="5" t="s">
        <v>350</v>
      </c>
      <c r="D17" s="5">
        <v>4</v>
      </c>
      <c r="E17" s="5" t="s">
        <v>50</v>
      </c>
      <c r="F17" s="5" t="s">
        <v>51</v>
      </c>
      <c r="G17" s="5" t="str">
        <f t="shared" si="0"/>
        <v>117,799,876 (8.57%)</v>
      </c>
      <c r="H17" s="5" t="str">
        <f t="shared" si="1"/>
        <v>1,399,736 (82.44%)</v>
      </c>
      <c r="I17" s="5"/>
    </row>
    <row r="18" spans="1:9" x14ac:dyDescent="0.6">
      <c r="A18">
        <v>4</v>
      </c>
      <c r="B18" t="s">
        <v>293</v>
      </c>
      <c r="C18" s="5" t="s">
        <v>350</v>
      </c>
      <c r="D18" s="5">
        <v>5</v>
      </c>
      <c r="E18" s="5" t="s">
        <v>45</v>
      </c>
      <c r="F18" s="5" t="s">
        <v>46</v>
      </c>
      <c r="G18" s="5" t="str">
        <f t="shared" si="0"/>
        <v>1,253,237,752 (91.20%)</v>
      </c>
      <c r="H18" s="5" t="str">
        <f t="shared" si="1"/>
        <v>292,572 (17.23%)</v>
      </c>
      <c r="I18" s="5"/>
    </row>
    <row r="19" spans="1:9" x14ac:dyDescent="0.6">
      <c r="A19">
        <v>0</v>
      </c>
      <c r="B19" t="s">
        <v>291</v>
      </c>
      <c r="C19" s="5" t="s">
        <v>345</v>
      </c>
      <c r="D19" s="5">
        <v>0</v>
      </c>
      <c r="E19" s="5" t="s">
        <v>61</v>
      </c>
      <c r="F19" s="5" t="s">
        <v>62</v>
      </c>
      <c r="G19" s="5" t="str">
        <f t="shared" si="0"/>
        <v>1,364,012,116 (99.26%)</v>
      </c>
      <c r="H19" s="5" t="str">
        <f t="shared" si="1"/>
        <v>1,557,976 (91.75%)</v>
      </c>
      <c r="I19" s="5" t="s">
        <v>63</v>
      </c>
    </row>
    <row r="20" spans="1:9" x14ac:dyDescent="0.6">
      <c r="A20">
        <v>0</v>
      </c>
      <c r="B20" t="s">
        <v>291</v>
      </c>
      <c r="C20" s="5" t="s">
        <v>345</v>
      </c>
      <c r="D20" s="5">
        <v>1</v>
      </c>
      <c r="E20" s="5" t="s">
        <v>64</v>
      </c>
      <c r="F20" s="5" t="s">
        <v>65</v>
      </c>
      <c r="G20" s="5" t="str">
        <f t="shared" si="0"/>
        <v>10,197,536 (0.74%)</v>
      </c>
      <c r="H20" s="5" t="str">
        <f t="shared" si="1"/>
        <v>140,008 (8.25%)</v>
      </c>
      <c r="I20" s="5"/>
    </row>
    <row r="21" spans="1:9" x14ac:dyDescent="0.6">
      <c r="A21">
        <v>0</v>
      </c>
      <c r="B21" t="s">
        <v>291</v>
      </c>
      <c r="C21" s="5" t="s">
        <v>347</v>
      </c>
      <c r="D21" s="5">
        <v>0</v>
      </c>
      <c r="E21" s="5" t="s">
        <v>66</v>
      </c>
      <c r="F21" s="5" t="s">
        <v>67</v>
      </c>
      <c r="G21" s="5" t="str">
        <f t="shared" si="0"/>
        <v>1,364,585,220 (99.30%)</v>
      </c>
      <c r="H21" s="5" t="str">
        <f t="shared" si="1"/>
        <v>1,417,624 (83.49%)</v>
      </c>
      <c r="I21" s="5" t="s">
        <v>68</v>
      </c>
    </row>
    <row r="22" spans="1:9" x14ac:dyDescent="0.6">
      <c r="A22">
        <v>0</v>
      </c>
      <c r="B22" t="s">
        <v>291</v>
      </c>
      <c r="C22" s="5" t="s">
        <v>347</v>
      </c>
      <c r="D22" s="5">
        <v>1</v>
      </c>
      <c r="E22" s="5" t="s">
        <v>69</v>
      </c>
      <c r="F22" s="5" t="s">
        <v>70</v>
      </c>
      <c r="G22" s="5" t="str">
        <f t="shared" si="0"/>
        <v>9,624,432 (0.70%)</v>
      </c>
      <c r="H22" s="5" t="str">
        <f t="shared" si="1"/>
        <v>280,360 (16.51%)</v>
      </c>
      <c r="I22" s="5"/>
    </row>
    <row r="23" spans="1:9" x14ac:dyDescent="0.6">
      <c r="A23">
        <v>0</v>
      </c>
      <c r="B23" t="s">
        <v>291</v>
      </c>
      <c r="C23" s="5" t="s">
        <v>348</v>
      </c>
      <c r="D23" s="5">
        <v>0</v>
      </c>
      <c r="E23" s="5" t="s">
        <v>71</v>
      </c>
      <c r="F23" s="5" t="s">
        <v>72</v>
      </c>
      <c r="G23" s="5" t="str">
        <f t="shared" si="0"/>
        <v>1,246,391,464 (90.70%)</v>
      </c>
      <c r="H23" s="5" t="str">
        <f t="shared" si="1"/>
        <v>1,252,676 (73.77%)</v>
      </c>
      <c r="I23" s="5" t="s">
        <v>73</v>
      </c>
    </row>
    <row r="24" spans="1:9" x14ac:dyDescent="0.6">
      <c r="A24">
        <v>0</v>
      </c>
      <c r="B24" t="s">
        <v>291</v>
      </c>
      <c r="C24" s="5" t="s">
        <v>348</v>
      </c>
      <c r="D24" s="5">
        <v>1</v>
      </c>
      <c r="E24" s="5" t="s">
        <v>74</v>
      </c>
      <c r="F24" s="5" t="s">
        <v>75</v>
      </c>
      <c r="G24" s="5" t="str">
        <f t="shared" si="0"/>
        <v>127,818,188 (9.30%)</v>
      </c>
      <c r="H24" s="5" t="str">
        <f t="shared" si="1"/>
        <v>445,308 (26.23%)</v>
      </c>
      <c r="I24" s="5"/>
    </row>
    <row r="25" spans="1:9" x14ac:dyDescent="0.6">
      <c r="A25">
        <v>1</v>
      </c>
      <c r="B25" t="s">
        <v>295</v>
      </c>
      <c r="C25" s="5" t="s">
        <v>322</v>
      </c>
      <c r="D25" s="5" t="s">
        <v>26</v>
      </c>
      <c r="E25" s="5" t="s">
        <v>76</v>
      </c>
      <c r="F25" s="5" t="s">
        <v>77</v>
      </c>
      <c r="G25" s="5" t="s">
        <v>76</v>
      </c>
      <c r="H25" s="5" t="s">
        <v>77</v>
      </c>
      <c r="I25" s="5" t="s">
        <v>78</v>
      </c>
    </row>
    <row r="26" spans="1:9" x14ac:dyDescent="0.6">
      <c r="A26">
        <v>2</v>
      </c>
      <c r="B26" t="s">
        <v>294</v>
      </c>
      <c r="C26" s="5" t="s">
        <v>303</v>
      </c>
      <c r="D26" s="5">
        <v>0</v>
      </c>
      <c r="E26" s="5" t="s">
        <v>79</v>
      </c>
      <c r="F26" s="5" t="s">
        <v>80</v>
      </c>
      <c r="G26" s="5" t="str">
        <f t="shared" si="0"/>
        <v>1,295,207,472 (94.25%)</v>
      </c>
      <c r="H26" s="5" t="str">
        <f t="shared" si="1"/>
        <v>1,333,688 (78.55%)</v>
      </c>
      <c r="I26" s="5" t="s">
        <v>81</v>
      </c>
    </row>
    <row r="27" spans="1:9" x14ac:dyDescent="0.6">
      <c r="A27">
        <v>2</v>
      </c>
      <c r="B27" t="s">
        <v>294</v>
      </c>
      <c r="C27" s="5" t="s">
        <v>303</v>
      </c>
      <c r="D27" s="5">
        <v>1</v>
      </c>
      <c r="E27" s="5" t="s">
        <v>82</v>
      </c>
      <c r="F27" s="5" t="s">
        <v>83</v>
      </c>
      <c r="G27" s="5" t="str">
        <f t="shared" si="0"/>
        <v>79,002,180 (5.75%)</v>
      </c>
      <c r="H27" s="5" t="str">
        <f t="shared" si="1"/>
        <v>364,296 (21.45%)</v>
      </c>
      <c r="I27" s="5"/>
    </row>
    <row r="28" spans="1:9" x14ac:dyDescent="0.6">
      <c r="A28">
        <v>0</v>
      </c>
      <c r="B28" t="s">
        <v>291</v>
      </c>
      <c r="C28" s="5" t="s">
        <v>309</v>
      </c>
      <c r="D28" s="5">
        <v>0</v>
      </c>
      <c r="E28" s="5" t="s">
        <v>84</v>
      </c>
      <c r="F28" s="5" t="s">
        <v>35</v>
      </c>
      <c r="G28" s="5" t="str">
        <f t="shared" si="0"/>
        <v>889,842,516 (64.75%)</v>
      </c>
      <c r="H28" s="5" t="str">
        <f t="shared" si="1"/>
        <v>1,642,600 (96.74%)</v>
      </c>
      <c r="I28" s="5" t="s">
        <v>85</v>
      </c>
    </row>
    <row r="29" spans="1:9" x14ac:dyDescent="0.6">
      <c r="A29">
        <v>0</v>
      </c>
      <c r="B29" t="s">
        <v>291</v>
      </c>
      <c r="C29" s="5" t="s">
        <v>309</v>
      </c>
      <c r="D29" s="5">
        <v>1</v>
      </c>
      <c r="E29" s="5" t="s">
        <v>86</v>
      </c>
      <c r="F29" s="5" t="s">
        <v>38</v>
      </c>
      <c r="G29" s="5" t="str">
        <f t="shared" si="0"/>
        <v>484,367,136 (35.25%)</v>
      </c>
      <c r="H29" s="5" t="str">
        <f t="shared" si="1"/>
        <v>55,384 (3.26%)</v>
      </c>
      <c r="I29" s="5"/>
    </row>
    <row r="30" spans="1:9" x14ac:dyDescent="0.6">
      <c r="A30">
        <v>0</v>
      </c>
      <c r="B30" t="s">
        <v>291</v>
      </c>
      <c r="C30" s="5" t="s">
        <v>308</v>
      </c>
      <c r="D30" s="5">
        <v>0</v>
      </c>
      <c r="E30" s="5" t="s">
        <v>87</v>
      </c>
      <c r="F30" s="5" t="s">
        <v>88</v>
      </c>
      <c r="G30" s="5" t="str">
        <f t="shared" si="0"/>
        <v>553,559,124 (40.28%)</v>
      </c>
      <c r="H30" s="5" t="str">
        <f t="shared" si="1"/>
        <v>73,788 (4.35%)</v>
      </c>
      <c r="I30" s="5" t="s">
        <v>89</v>
      </c>
    </row>
    <row r="31" spans="1:9" x14ac:dyDescent="0.6">
      <c r="A31">
        <v>0</v>
      </c>
      <c r="B31" t="s">
        <v>291</v>
      </c>
      <c r="C31" s="5" t="s">
        <v>308</v>
      </c>
      <c r="D31" s="5">
        <v>1</v>
      </c>
      <c r="E31" s="5" t="s">
        <v>90</v>
      </c>
      <c r="F31" s="5" t="s">
        <v>91</v>
      </c>
      <c r="G31" s="5" t="str">
        <f t="shared" si="0"/>
        <v>820,650,528 (59.72%)</v>
      </c>
      <c r="H31" s="5" t="str">
        <f t="shared" si="1"/>
        <v>1,624,196 (95.65%)</v>
      </c>
      <c r="I31" s="5"/>
    </row>
    <row r="32" spans="1:9" x14ac:dyDescent="0.6">
      <c r="A32">
        <v>2</v>
      </c>
      <c r="B32" t="s">
        <v>294</v>
      </c>
      <c r="C32" s="5" t="s">
        <v>326</v>
      </c>
      <c r="D32" s="5">
        <v>-0.97492790222167902</v>
      </c>
      <c r="E32" s="5" t="s">
        <v>92</v>
      </c>
      <c r="F32" s="5" t="s">
        <v>93</v>
      </c>
      <c r="G32" s="5" t="str">
        <f t="shared" si="0"/>
        <v>54,762,736 (3.99%)</v>
      </c>
      <c r="H32" s="5" t="str">
        <f t="shared" si="1"/>
        <v>185,072 (10.90%)</v>
      </c>
      <c r="I32" s="5" t="s">
        <v>94</v>
      </c>
    </row>
    <row r="33" spans="1:9" x14ac:dyDescent="0.6">
      <c r="A33">
        <v>2</v>
      </c>
      <c r="B33" t="s">
        <v>294</v>
      </c>
      <c r="C33" s="5" t="s">
        <v>326</v>
      </c>
      <c r="D33" s="5">
        <v>-0.78183150291442804</v>
      </c>
      <c r="E33" s="5" t="s">
        <v>95</v>
      </c>
      <c r="F33" s="5" t="s">
        <v>96</v>
      </c>
      <c r="G33" s="5" t="str">
        <f t="shared" si="0"/>
        <v>24,239,444 (1.76%)</v>
      </c>
      <c r="H33" s="5" t="str">
        <f t="shared" si="1"/>
        <v>179,224 (10.56%)</v>
      </c>
      <c r="I33" s="5"/>
    </row>
    <row r="34" spans="1:9" x14ac:dyDescent="0.6">
      <c r="A34">
        <v>2</v>
      </c>
      <c r="B34" t="s">
        <v>294</v>
      </c>
      <c r="C34" s="5" t="s">
        <v>326</v>
      </c>
      <c r="D34" s="5">
        <v>-0.433883726596832</v>
      </c>
      <c r="E34" s="5" t="s">
        <v>97</v>
      </c>
      <c r="F34" s="5" t="s">
        <v>98</v>
      </c>
      <c r="G34" s="5" t="str">
        <f t="shared" si="0"/>
        <v>398,359,568 (28.99%)</v>
      </c>
      <c r="H34" s="5" t="str">
        <f t="shared" si="1"/>
        <v>294,980 (17.37%)</v>
      </c>
      <c r="I34" s="5"/>
    </row>
    <row r="35" spans="1:9" x14ac:dyDescent="0.6">
      <c r="A35">
        <v>2</v>
      </c>
      <c r="B35" t="s">
        <v>294</v>
      </c>
      <c r="C35" s="5" t="s">
        <v>326</v>
      </c>
      <c r="D35" s="5">
        <v>0</v>
      </c>
      <c r="E35" s="5" t="s">
        <v>99</v>
      </c>
      <c r="F35" s="5" t="s">
        <v>100</v>
      </c>
      <c r="G35" s="5" t="str">
        <f t="shared" si="0"/>
        <v>195,071,220 (14.20%)</v>
      </c>
      <c r="H35" s="5" t="str">
        <f t="shared" si="1"/>
        <v>210,872 (12.42%)</v>
      </c>
      <c r="I35" s="5"/>
    </row>
    <row r="36" spans="1:9" x14ac:dyDescent="0.6">
      <c r="A36">
        <v>2</v>
      </c>
      <c r="B36" t="s">
        <v>294</v>
      </c>
      <c r="C36" s="5" t="s">
        <v>326</v>
      </c>
      <c r="D36" s="5">
        <v>0.433883726596832</v>
      </c>
      <c r="E36" s="5" t="s">
        <v>101</v>
      </c>
      <c r="F36" s="5" t="s">
        <v>102</v>
      </c>
      <c r="G36" s="5" t="str">
        <f t="shared" si="0"/>
        <v>121,870,772 (8.87%)</v>
      </c>
      <c r="H36" s="5" t="str">
        <f t="shared" si="1"/>
        <v>241,488 (14.22%)</v>
      </c>
      <c r="I36" s="5"/>
    </row>
    <row r="37" spans="1:9" x14ac:dyDescent="0.6">
      <c r="A37">
        <v>2</v>
      </c>
      <c r="B37" t="s">
        <v>294</v>
      </c>
      <c r="C37" s="5" t="s">
        <v>326</v>
      </c>
      <c r="D37" s="5">
        <v>0.78183150291442804</v>
      </c>
      <c r="E37" s="5" t="s">
        <v>103</v>
      </c>
      <c r="F37" s="5" t="s">
        <v>104</v>
      </c>
      <c r="G37" s="5" t="str">
        <f t="shared" si="0"/>
        <v>212,535,584 (15.47%)</v>
      </c>
      <c r="H37" s="5" t="str">
        <f t="shared" si="1"/>
        <v>234,092 (13.79%)</v>
      </c>
      <c r="I37" s="5"/>
    </row>
    <row r="38" spans="1:9" x14ac:dyDescent="0.6">
      <c r="A38">
        <v>2</v>
      </c>
      <c r="B38" t="s">
        <v>294</v>
      </c>
      <c r="C38" s="5" t="s">
        <v>326</v>
      </c>
      <c r="D38" s="5">
        <v>0.97492790222167902</v>
      </c>
      <c r="E38" s="5" t="s">
        <v>105</v>
      </c>
      <c r="F38" s="5" t="s">
        <v>106</v>
      </c>
      <c r="G38" s="5" t="str">
        <f t="shared" si="0"/>
        <v>367,370,328 (26.73%)</v>
      </c>
      <c r="H38" s="5" t="str">
        <f t="shared" si="1"/>
        <v>352,256 (20.75%)</v>
      </c>
      <c r="I38" s="5"/>
    </row>
    <row r="39" spans="1:9" x14ac:dyDescent="0.6">
      <c r="A39">
        <v>0</v>
      </c>
      <c r="B39" t="s">
        <v>291</v>
      </c>
      <c r="C39" s="5" t="s">
        <v>306</v>
      </c>
      <c r="D39" s="5">
        <v>0</v>
      </c>
      <c r="E39" s="5" t="s">
        <v>107</v>
      </c>
      <c r="F39" s="5" t="s">
        <v>108</v>
      </c>
      <c r="G39" s="5" t="str">
        <f t="shared" si="0"/>
        <v>1,347,222,680 (98.04%)</v>
      </c>
      <c r="H39" s="5" t="str">
        <f t="shared" si="1"/>
        <v>316,652 (18.65%)</v>
      </c>
      <c r="I39" s="5" t="s">
        <v>109</v>
      </c>
    </row>
    <row r="40" spans="1:9" x14ac:dyDescent="0.6">
      <c r="A40">
        <v>0</v>
      </c>
      <c r="B40" t="s">
        <v>291</v>
      </c>
      <c r="C40" s="5" t="s">
        <v>306</v>
      </c>
      <c r="D40" s="5">
        <v>1</v>
      </c>
      <c r="E40" s="5" t="s">
        <v>110</v>
      </c>
      <c r="F40" s="5" t="s">
        <v>111</v>
      </c>
      <c r="G40" s="5" t="str">
        <f t="shared" si="0"/>
        <v>26,986,972 (1.96%)</v>
      </c>
      <c r="H40" s="5" t="str">
        <f t="shared" si="1"/>
        <v>1,381,332 (81.35%)</v>
      </c>
      <c r="I40" s="5"/>
    </row>
    <row r="41" spans="1:9" x14ac:dyDescent="0.6">
      <c r="A41">
        <v>0</v>
      </c>
      <c r="B41" t="s">
        <v>291</v>
      </c>
      <c r="C41" s="5" t="s">
        <v>305</v>
      </c>
      <c r="D41" s="5">
        <v>0</v>
      </c>
      <c r="E41" s="5" t="s">
        <v>112</v>
      </c>
      <c r="F41" s="5" t="s">
        <v>51</v>
      </c>
      <c r="G41" s="5" t="str">
        <f t="shared" si="0"/>
        <v>96,166,060 (7.00%)</v>
      </c>
      <c r="H41" s="5" t="str">
        <f t="shared" si="1"/>
        <v>1,399,736 (82.44%)</v>
      </c>
      <c r="I41" s="5" t="s">
        <v>113</v>
      </c>
    </row>
    <row r="42" spans="1:9" x14ac:dyDescent="0.6">
      <c r="A42">
        <v>0</v>
      </c>
      <c r="B42" t="s">
        <v>291</v>
      </c>
      <c r="C42" s="5" t="s">
        <v>305</v>
      </c>
      <c r="D42" s="5">
        <v>1</v>
      </c>
      <c r="E42" s="5" t="s">
        <v>114</v>
      </c>
      <c r="F42" s="5" t="s">
        <v>48</v>
      </c>
      <c r="G42" s="5" t="str">
        <f t="shared" si="0"/>
        <v>1,278,043,592 (93.00%)</v>
      </c>
      <c r="H42" s="5" t="str">
        <f t="shared" si="1"/>
        <v>298,248 (17.56%)</v>
      </c>
      <c r="I42" s="5"/>
    </row>
    <row r="43" spans="1:9" x14ac:dyDescent="0.6">
      <c r="A43">
        <v>0</v>
      </c>
      <c r="B43" t="s">
        <v>291</v>
      </c>
      <c r="C43" s="5" t="s">
        <v>300</v>
      </c>
      <c r="D43" s="5" t="s">
        <v>26</v>
      </c>
      <c r="E43" s="5" t="s">
        <v>115</v>
      </c>
      <c r="F43" s="5" t="s">
        <v>116</v>
      </c>
      <c r="G43" s="5" t="s">
        <v>115</v>
      </c>
      <c r="H43" s="5" t="s">
        <v>116</v>
      </c>
      <c r="I43" s="5" t="s">
        <v>117</v>
      </c>
    </row>
    <row r="44" spans="1:9" x14ac:dyDescent="0.6">
      <c r="A44">
        <v>3</v>
      </c>
      <c r="B44" t="s">
        <v>292</v>
      </c>
      <c r="C44" s="5" t="s">
        <v>358</v>
      </c>
      <c r="D44" s="5" t="s">
        <v>26</v>
      </c>
      <c r="E44" s="5" t="s">
        <v>118</v>
      </c>
      <c r="F44" s="5" t="s">
        <v>119</v>
      </c>
      <c r="G44" s="5" t="s">
        <v>118</v>
      </c>
      <c r="H44" s="5" t="s">
        <v>119</v>
      </c>
      <c r="I44" s="5" t="s">
        <v>120</v>
      </c>
    </row>
    <row r="45" spans="1:9" x14ac:dyDescent="0.6">
      <c r="A45">
        <v>4</v>
      </c>
      <c r="B45" t="s">
        <v>293</v>
      </c>
      <c r="C45" s="5" t="s">
        <v>333</v>
      </c>
      <c r="D45" s="5">
        <v>0</v>
      </c>
      <c r="E45" s="5" t="s">
        <v>121</v>
      </c>
      <c r="F45" s="5" t="s">
        <v>122</v>
      </c>
      <c r="G45" s="5" t="str">
        <f t="shared" ref="G45:G52" si="2">TEXT(SUBSTITUTE(LEFT(E45, FIND("(", E45) - 1), ",", "") * 172, "#,##0") &amp; " " &amp; MID(E45, FIND("(", E45), LEN(E45))</f>
        <v>1,370,206,008 (99.71%)</v>
      </c>
      <c r="H45" s="5" t="str">
        <f t="shared" ref="H45:H52" si="3">TEXT(SUBSTITUTE(LEFT(F45, FIND("(", F45) - 1), ",", "") * 172, "#,##0") &amp; " " &amp; MID(F45, FIND("(", F45), LEN(F45))</f>
        <v>1,388,556 (81.78%)</v>
      </c>
      <c r="I45" s="5" t="s">
        <v>123</v>
      </c>
    </row>
    <row r="46" spans="1:9" x14ac:dyDescent="0.6">
      <c r="A46">
        <v>4</v>
      </c>
      <c r="B46" t="s">
        <v>293</v>
      </c>
      <c r="C46" s="5" t="s">
        <v>333</v>
      </c>
      <c r="D46" s="5">
        <v>0.20000000298023199</v>
      </c>
      <c r="E46" s="5" t="s">
        <v>124</v>
      </c>
      <c r="F46" s="5" t="s">
        <v>125</v>
      </c>
      <c r="G46" s="5" t="str">
        <f t="shared" si="2"/>
        <v>2,905,080 (0.21%)</v>
      </c>
      <c r="H46" s="5" t="str">
        <f t="shared" si="3"/>
        <v>16,856 (0.99%)</v>
      </c>
      <c r="I46" s="5"/>
    </row>
    <row r="47" spans="1:9" x14ac:dyDescent="0.6">
      <c r="A47">
        <v>4</v>
      </c>
      <c r="B47" t="s">
        <v>293</v>
      </c>
      <c r="C47" s="5" t="s">
        <v>333</v>
      </c>
      <c r="D47" s="5">
        <v>0.5</v>
      </c>
      <c r="E47" s="5" t="s">
        <v>126</v>
      </c>
      <c r="F47" s="5" t="s">
        <v>127</v>
      </c>
      <c r="G47" s="5" t="str">
        <f t="shared" si="2"/>
        <v>115,240 (0.01%)</v>
      </c>
      <c r="H47" s="5" t="str">
        <f t="shared" si="3"/>
        <v>688 (0.04%)</v>
      </c>
      <c r="I47" s="5"/>
    </row>
    <row r="48" spans="1:9" x14ac:dyDescent="0.6">
      <c r="A48">
        <v>4</v>
      </c>
      <c r="B48" t="s">
        <v>293</v>
      </c>
      <c r="C48" s="5" t="s">
        <v>333</v>
      </c>
      <c r="D48" s="5">
        <v>1</v>
      </c>
      <c r="E48" s="5" t="s">
        <v>128</v>
      </c>
      <c r="F48" s="5" t="s">
        <v>129</v>
      </c>
      <c r="G48" s="5" t="str">
        <f t="shared" si="2"/>
        <v>983,324 (0.07%)</v>
      </c>
      <c r="H48" s="5" t="str">
        <f t="shared" si="3"/>
        <v>291,884 (17.19%)</v>
      </c>
      <c r="I48" s="5"/>
    </row>
    <row r="49" spans="1:9" x14ac:dyDescent="0.6">
      <c r="A49">
        <v>0</v>
      </c>
      <c r="B49" t="s">
        <v>291</v>
      </c>
      <c r="C49" s="5" t="s">
        <v>340</v>
      </c>
      <c r="D49" s="5">
        <v>0</v>
      </c>
      <c r="E49" s="5" t="s">
        <v>130</v>
      </c>
      <c r="F49" s="5" t="s">
        <v>108</v>
      </c>
      <c r="G49" s="5" t="str">
        <f t="shared" si="2"/>
        <v>1,346,481,016 (97.98%)</v>
      </c>
      <c r="H49" s="5" t="str">
        <f t="shared" si="3"/>
        <v>316,652 (18.65%)</v>
      </c>
      <c r="I49" s="5" t="s">
        <v>131</v>
      </c>
    </row>
    <row r="50" spans="1:9" x14ac:dyDescent="0.6">
      <c r="A50">
        <v>0</v>
      </c>
      <c r="B50" t="s">
        <v>291</v>
      </c>
      <c r="C50" s="5" t="s">
        <v>340</v>
      </c>
      <c r="D50" s="5">
        <v>1</v>
      </c>
      <c r="E50" s="5" t="s">
        <v>132</v>
      </c>
      <c r="F50" s="5" t="s">
        <v>111</v>
      </c>
      <c r="G50" s="5" t="str">
        <f t="shared" si="2"/>
        <v>27,728,636 (2.02%)</v>
      </c>
      <c r="H50" s="5" t="str">
        <f t="shared" si="3"/>
        <v>1,381,332 (81.35%)</v>
      </c>
      <c r="I50" s="5"/>
    </row>
    <row r="51" spans="1:9" x14ac:dyDescent="0.6">
      <c r="A51">
        <v>0</v>
      </c>
      <c r="B51" t="s">
        <v>291</v>
      </c>
      <c r="C51" s="5" t="s">
        <v>339</v>
      </c>
      <c r="D51" s="5">
        <v>0</v>
      </c>
      <c r="E51" s="5" t="s">
        <v>133</v>
      </c>
      <c r="F51" s="5" t="s">
        <v>51</v>
      </c>
      <c r="G51" s="5" t="str">
        <f t="shared" si="2"/>
        <v>96,907,724 (7.05%)</v>
      </c>
      <c r="H51" s="5" t="str">
        <f t="shared" si="3"/>
        <v>1,399,736 (82.44%)</v>
      </c>
      <c r="I51" s="5" t="s">
        <v>134</v>
      </c>
    </row>
    <row r="52" spans="1:9" x14ac:dyDescent="0.6">
      <c r="A52">
        <v>0</v>
      </c>
      <c r="B52" t="s">
        <v>291</v>
      </c>
      <c r="C52" s="5" t="s">
        <v>339</v>
      </c>
      <c r="D52" s="5">
        <v>1</v>
      </c>
      <c r="E52" s="5" t="s">
        <v>135</v>
      </c>
      <c r="F52" s="5" t="s">
        <v>48</v>
      </c>
      <c r="G52" s="5" t="str">
        <f t="shared" si="2"/>
        <v>1,277,301,928 (92.95%)</v>
      </c>
      <c r="H52" s="5" t="str">
        <f t="shared" si="3"/>
        <v>298,248 (17.56%)</v>
      </c>
      <c r="I52" s="5"/>
    </row>
    <row r="53" spans="1:9" x14ac:dyDescent="0.6">
      <c r="A53">
        <v>3</v>
      </c>
      <c r="B53" t="s">
        <v>292</v>
      </c>
      <c r="C53" s="5" t="s">
        <v>356</v>
      </c>
      <c r="D53" s="5" t="s">
        <v>26</v>
      </c>
      <c r="E53" s="5" t="s">
        <v>136</v>
      </c>
      <c r="F53" s="5" t="s">
        <v>137</v>
      </c>
      <c r="G53" s="5" t="s">
        <v>136</v>
      </c>
      <c r="H53" s="5" t="s">
        <v>137</v>
      </c>
      <c r="I53" s="5" t="s">
        <v>138</v>
      </c>
    </row>
    <row r="54" spans="1:9" x14ac:dyDescent="0.6">
      <c r="A54">
        <v>0</v>
      </c>
      <c r="B54" t="s">
        <v>291</v>
      </c>
      <c r="C54" s="5" t="s">
        <v>332</v>
      </c>
      <c r="D54" s="5" t="s">
        <v>26</v>
      </c>
      <c r="E54" s="5" t="s">
        <v>139</v>
      </c>
      <c r="F54" s="5" t="s">
        <v>140</v>
      </c>
      <c r="G54" s="5" t="s">
        <v>139</v>
      </c>
      <c r="H54" s="5" t="s">
        <v>140</v>
      </c>
      <c r="I54" s="5" t="s">
        <v>141</v>
      </c>
    </row>
    <row r="55" spans="1:9" x14ac:dyDescent="0.6">
      <c r="A55">
        <v>0</v>
      </c>
      <c r="B55" t="s">
        <v>291</v>
      </c>
      <c r="C55" s="5" t="s">
        <v>344</v>
      </c>
      <c r="D55" s="5">
        <v>0</v>
      </c>
      <c r="E55" s="5" t="s">
        <v>142</v>
      </c>
      <c r="F55" s="5" t="s">
        <v>143</v>
      </c>
      <c r="G55" s="5" t="str">
        <f t="shared" ref="G55:G56" si="4">TEXT(SUBSTITUTE(LEFT(E55, FIND("(", E55) - 1), ",", "") * 172, "#,##0") &amp; " " &amp; MID(E55, FIND("(", E55), LEN(E55))</f>
        <v>1,373,425,676 (99.94%)</v>
      </c>
      <c r="H55" s="5" t="str">
        <f t="shared" ref="H55:H56" si="5">TEXT(SUBSTITUTE(LEFT(F55, FIND("(", F55) - 1), ",", "") * 172, "#,##0") &amp; " " &amp; MID(F55, FIND("(", F55), LEN(F55))</f>
        <v>1,682,160 (99.07%)</v>
      </c>
      <c r="I55" s="5" t="s">
        <v>144</v>
      </c>
    </row>
    <row r="56" spans="1:9" x14ac:dyDescent="0.6">
      <c r="A56">
        <v>0</v>
      </c>
      <c r="B56" t="s">
        <v>291</v>
      </c>
      <c r="C56" s="5" t="s">
        <v>344</v>
      </c>
      <c r="D56" s="5">
        <v>1</v>
      </c>
      <c r="E56" s="5" t="s">
        <v>145</v>
      </c>
      <c r="F56" s="5" t="s">
        <v>146</v>
      </c>
      <c r="G56" s="5" t="str">
        <f t="shared" si="4"/>
        <v>783,976 (0.06%)</v>
      </c>
      <c r="H56" s="5" t="str">
        <f t="shared" si="5"/>
        <v>15,824 (0.93%)</v>
      </c>
      <c r="I56" s="5"/>
    </row>
    <row r="57" spans="1:9" x14ac:dyDescent="0.6">
      <c r="A57">
        <v>4</v>
      </c>
      <c r="B57" t="s">
        <v>293</v>
      </c>
      <c r="C57" s="5" t="s">
        <v>351</v>
      </c>
      <c r="D57" s="5" t="s">
        <v>26</v>
      </c>
      <c r="E57" s="5" t="s">
        <v>147</v>
      </c>
      <c r="F57" s="5" t="s">
        <v>148</v>
      </c>
      <c r="G57" s="5" t="s">
        <v>147</v>
      </c>
      <c r="H57" s="5" t="s">
        <v>148</v>
      </c>
      <c r="I57" s="5" t="s">
        <v>149</v>
      </c>
    </row>
    <row r="58" spans="1:9" x14ac:dyDescent="0.6">
      <c r="A58">
        <v>1</v>
      </c>
      <c r="B58" t="s">
        <v>295</v>
      </c>
      <c r="C58" s="5" t="s">
        <v>336</v>
      </c>
      <c r="D58" s="5" t="s">
        <v>26</v>
      </c>
      <c r="E58" s="5" t="s">
        <v>150</v>
      </c>
      <c r="F58" s="5" t="s">
        <v>151</v>
      </c>
      <c r="G58" s="5" t="s">
        <v>150</v>
      </c>
      <c r="H58" s="5" t="s">
        <v>151</v>
      </c>
      <c r="I58" s="5" t="s">
        <v>152</v>
      </c>
    </row>
    <row r="59" spans="1:9" x14ac:dyDescent="0.6">
      <c r="A59">
        <v>0</v>
      </c>
      <c r="B59" t="s">
        <v>291</v>
      </c>
      <c r="C59" s="5" t="s">
        <v>324</v>
      </c>
      <c r="D59" s="5">
        <v>0</v>
      </c>
      <c r="E59" s="5" t="s">
        <v>153</v>
      </c>
      <c r="F59" s="5" t="s">
        <v>154</v>
      </c>
      <c r="G59" s="5" t="str">
        <f t="shared" ref="G59:G60" si="6">TEXT(SUBSTITUTE(LEFT(E59, FIND("(", E59) - 1), ",", "") * 172, "#,##0") &amp; " " &amp; MID(E59, FIND("(", E59), LEN(E59))</f>
        <v>933,516,240 (67.93%)</v>
      </c>
      <c r="H59" s="5" t="str">
        <f t="shared" ref="H59:H60" si="7">TEXT(SUBSTITUTE(LEFT(F59, FIND("(", F59) - 1), ",", "") * 172, "#,##0") &amp; " " &amp; MID(F59, FIND("(", F59), LEN(F59))</f>
        <v>896,980 (52.83%)</v>
      </c>
      <c r="I59" s="5" t="s">
        <v>155</v>
      </c>
    </row>
    <row r="60" spans="1:9" x14ac:dyDescent="0.6">
      <c r="A60">
        <v>0</v>
      </c>
      <c r="B60" t="s">
        <v>291</v>
      </c>
      <c r="C60" s="5" t="s">
        <v>324</v>
      </c>
      <c r="D60" s="5">
        <v>1</v>
      </c>
      <c r="E60" s="5" t="s">
        <v>156</v>
      </c>
      <c r="F60" s="5" t="s">
        <v>157</v>
      </c>
      <c r="G60" s="5" t="str">
        <f t="shared" si="6"/>
        <v>440,693,412 (32.07%)</v>
      </c>
      <c r="H60" s="5" t="str">
        <f t="shared" si="7"/>
        <v>801,004 (47.17%)</v>
      </c>
      <c r="I60" s="5"/>
    </row>
    <row r="61" spans="1:9" x14ac:dyDescent="0.6">
      <c r="A61">
        <v>3</v>
      </c>
      <c r="B61" t="s">
        <v>292</v>
      </c>
      <c r="C61" s="5" t="s">
        <v>357</v>
      </c>
      <c r="D61" s="5" t="s">
        <v>26</v>
      </c>
      <c r="E61" s="5" t="s">
        <v>158</v>
      </c>
      <c r="F61" s="5" t="s">
        <v>159</v>
      </c>
      <c r="G61" s="5" t="s">
        <v>158</v>
      </c>
      <c r="H61" s="5" t="s">
        <v>159</v>
      </c>
      <c r="I61" s="5" t="s">
        <v>160</v>
      </c>
    </row>
    <row r="62" spans="1:9" x14ac:dyDescent="0.6">
      <c r="A62">
        <v>3</v>
      </c>
      <c r="B62" t="s">
        <v>292</v>
      </c>
      <c r="C62" s="5" t="s">
        <v>328</v>
      </c>
      <c r="D62" s="5" t="s">
        <v>26</v>
      </c>
      <c r="E62" s="5" t="s">
        <v>161</v>
      </c>
      <c r="F62" s="5" t="s">
        <v>162</v>
      </c>
      <c r="G62" s="5" t="s">
        <v>161</v>
      </c>
      <c r="H62" s="5" t="s">
        <v>162</v>
      </c>
      <c r="I62" s="5" t="s">
        <v>163</v>
      </c>
    </row>
    <row r="63" spans="1:9" x14ac:dyDescent="0.6">
      <c r="A63">
        <v>4</v>
      </c>
      <c r="B63" t="s">
        <v>293</v>
      </c>
      <c r="C63" s="5" t="s">
        <v>338</v>
      </c>
      <c r="D63" s="5" t="s">
        <v>26</v>
      </c>
      <c r="E63" s="5" t="s">
        <v>161</v>
      </c>
      <c r="F63" s="5" t="s">
        <v>164</v>
      </c>
      <c r="G63" s="5" t="s">
        <v>161</v>
      </c>
      <c r="H63" s="5" t="s">
        <v>164</v>
      </c>
      <c r="I63" s="5" t="s">
        <v>165</v>
      </c>
    </row>
    <row r="64" spans="1:9" x14ac:dyDescent="0.6">
      <c r="A64">
        <v>0</v>
      </c>
      <c r="B64" t="s">
        <v>291</v>
      </c>
      <c r="C64" s="5" t="s">
        <v>354</v>
      </c>
      <c r="D64" s="5" t="s">
        <v>26</v>
      </c>
      <c r="E64" s="5" t="s">
        <v>166</v>
      </c>
      <c r="F64" s="5" t="s">
        <v>167</v>
      </c>
      <c r="G64" s="5" t="s">
        <v>166</v>
      </c>
      <c r="H64" s="5" t="s">
        <v>167</v>
      </c>
      <c r="I64" s="5" t="s">
        <v>168</v>
      </c>
    </row>
    <row r="65" spans="1:9" x14ac:dyDescent="0.6">
      <c r="A65">
        <v>0</v>
      </c>
      <c r="B65" t="s">
        <v>291</v>
      </c>
      <c r="C65" s="5" t="s">
        <v>343</v>
      </c>
      <c r="D65" s="5">
        <v>0</v>
      </c>
      <c r="E65" s="5" t="s">
        <v>169</v>
      </c>
      <c r="F65" s="5" t="s">
        <v>170</v>
      </c>
      <c r="G65" s="5" t="str">
        <f t="shared" ref="G65:G66" si="8">TEXT(SUBSTITUTE(LEFT(E65, FIND("(", E65) - 1), ",", "") * 172, "#,##0") &amp; " " &amp; MID(E65, FIND("(", E65), LEN(E65))</f>
        <v>1,332,408,664 (96.96%)</v>
      </c>
      <c r="H65" s="5" t="str">
        <f t="shared" ref="H65:H66" si="9">TEXT(SUBSTITUTE(LEFT(F65, FIND("(", F65) - 1), ",", "") * 172, "#,##0") &amp; " " &amp; MID(F65, FIND("(", F65), LEN(F65))</f>
        <v>1,566,748 (92.27%)</v>
      </c>
      <c r="I65" s="5" t="s">
        <v>171</v>
      </c>
    </row>
    <row r="66" spans="1:9" x14ac:dyDescent="0.6">
      <c r="A66">
        <v>0</v>
      </c>
      <c r="B66" t="s">
        <v>291</v>
      </c>
      <c r="C66" s="5" t="s">
        <v>343</v>
      </c>
      <c r="D66" s="5">
        <v>1</v>
      </c>
      <c r="E66" s="5" t="s">
        <v>172</v>
      </c>
      <c r="F66" s="5" t="s">
        <v>173</v>
      </c>
      <c r="G66" s="5" t="str">
        <f t="shared" si="8"/>
        <v>41,800,988 (3.04%)</v>
      </c>
      <c r="H66" s="5" t="str">
        <f t="shared" si="9"/>
        <v>131,236 (7.73%)</v>
      </c>
      <c r="I66" s="5"/>
    </row>
    <row r="67" spans="1:9" x14ac:dyDescent="0.6">
      <c r="A67">
        <v>0</v>
      </c>
      <c r="B67" t="s">
        <v>291</v>
      </c>
      <c r="C67" s="5" t="s">
        <v>301</v>
      </c>
      <c r="D67" s="5" t="s">
        <v>26</v>
      </c>
      <c r="E67" s="5" t="s">
        <v>174</v>
      </c>
      <c r="F67" s="5" t="s">
        <v>175</v>
      </c>
      <c r="G67" s="5" t="s">
        <v>174</v>
      </c>
      <c r="H67" s="5" t="s">
        <v>175</v>
      </c>
      <c r="I67" s="5" t="s">
        <v>176</v>
      </c>
    </row>
    <row r="68" spans="1:9" x14ac:dyDescent="0.6">
      <c r="A68">
        <v>0</v>
      </c>
      <c r="B68" t="s">
        <v>291</v>
      </c>
      <c r="C68" s="5" t="s">
        <v>325</v>
      </c>
      <c r="D68" s="5">
        <v>0</v>
      </c>
      <c r="E68" s="5" t="s">
        <v>177</v>
      </c>
      <c r="F68" s="5" t="s">
        <v>178</v>
      </c>
      <c r="G68" s="5" t="str">
        <f t="shared" ref="G68:G69" si="10">TEXT(SUBSTITUTE(LEFT(E68, FIND("(", E68) - 1), ",", "") * 172, "#,##0") &amp; " " &amp; MID(E68, FIND("(", E68), LEN(E68))</f>
        <v>637,672,628 (46.40%)</v>
      </c>
      <c r="H68" s="5" t="str">
        <f t="shared" ref="H68:H69" si="11">TEXT(SUBSTITUTE(LEFT(F68, FIND("(", F68) - 1), ",", "") * 172, "#,##0") &amp; " " &amp; MID(F68, FIND("(", F68), LEN(F68))</f>
        <v>983,152 (57.90%)</v>
      </c>
      <c r="I68" s="5" t="s">
        <v>179</v>
      </c>
    </row>
    <row r="69" spans="1:9" x14ac:dyDescent="0.6">
      <c r="A69">
        <v>0</v>
      </c>
      <c r="B69" t="s">
        <v>291</v>
      </c>
      <c r="C69" s="5" t="s">
        <v>325</v>
      </c>
      <c r="D69" s="5">
        <v>1</v>
      </c>
      <c r="E69" s="5" t="s">
        <v>180</v>
      </c>
      <c r="F69" s="5" t="s">
        <v>181</v>
      </c>
      <c r="G69" s="5" t="str">
        <f t="shared" si="10"/>
        <v>736,537,024 (53.60%)</v>
      </c>
      <c r="H69" s="5" t="str">
        <f t="shared" si="11"/>
        <v>714,832 (42.10%)</v>
      </c>
      <c r="I69" s="5"/>
    </row>
    <row r="70" spans="1:9" x14ac:dyDescent="0.6">
      <c r="A70">
        <v>0</v>
      </c>
      <c r="B70" t="s">
        <v>291</v>
      </c>
      <c r="C70" s="5" t="s">
        <v>353</v>
      </c>
      <c r="D70" s="5" t="s">
        <v>26</v>
      </c>
      <c r="E70" s="5" t="s">
        <v>182</v>
      </c>
      <c r="F70" s="5" t="s">
        <v>183</v>
      </c>
      <c r="G70" s="5" t="s">
        <v>182</v>
      </c>
      <c r="H70" s="5" t="s">
        <v>183</v>
      </c>
      <c r="I70" s="5" t="s">
        <v>184</v>
      </c>
    </row>
    <row r="71" spans="1:9" x14ac:dyDescent="0.6">
      <c r="A71">
        <v>2</v>
      </c>
      <c r="B71" t="s">
        <v>294</v>
      </c>
      <c r="C71" s="5" t="s">
        <v>335</v>
      </c>
      <c r="D71" s="5">
        <v>4.9787066876888199E-2</v>
      </c>
      <c r="E71" s="5" t="s">
        <v>185</v>
      </c>
      <c r="F71" s="5" t="s">
        <v>186</v>
      </c>
      <c r="G71" s="5" t="str">
        <f t="shared" ref="G71:G80" si="12">TEXT(SUBSTITUTE(LEFT(E71, FIND("(", E71) - 1), ",", "") * 172, "#,##0") &amp; " " &amp; MID(E71, FIND("(", E71), LEN(E71))</f>
        <v>57,449,032 (4.18%)</v>
      </c>
      <c r="H71" s="5" t="str">
        <f t="shared" ref="H71:H80" si="13">TEXT(SUBSTITUTE(LEFT(F71, FIND("(", F71) - 1), ",", "") * 172, "#,##0") &amp; " " &amp; MID(F71, FIND("(", F71), LEN(F71))</f>
        <v>60,716 (3.58%)</v>
      </c>
      <c r="I71" s="5" t="s">
        <v>187</v>
      </c>
    </row>
    <row r="72" spans="1:9" x14ac:dyDescent="0.6">
      <c r="A72">
        <v>2</v>
      </c>
      <c r="B72" t="s">
        <v>294</v>
      </c>
      <c r="C72" s="5" t="s">
        <v>335</v>
      </c>
      <c r="D72" s="5">
        <v>6.9483451545238495E-2</v>
      </c>
      <c r="E72" s="5" t="s">
        <v>188</v>
      </c>
      <c r="F72" s="5" t="s">
        <v>189</v>
      </c>
      <c r="G72" s="5" t="str">
        <f t="shared" si="12"/>
        <v>36,944,912 (2.69%)</v>
      </c>
      <c r="H72" s="5" t="str">
        <f t="shared" si="13"/>
        <v>54,524 (3.21%)</v>
      </c>
      <c r="I72" s="5"/>
    </row>
    <row r="73" spans="1:9" x14ac:dyDescent="0.6">
      <c r="A73">
        <v>2</v>
      </c>
      <c r="B73" t="s">
        <v>294</v>
      </c>
      <c r="C73" s="5" t="s">
        <v>335</v>
      </c>
      <c r="D73" s="5">
        <v>9.6971966326236697E-2</v>
      </c>
      <c r="E73" s="5" t="s">
        <v>190</v>
      </c>
      <c r="F73" s="5" t="s">
        <v>191</v>
      </c>
      <c r="G73" s="5" t="str">
        <f t="shared" si="12"/>
        <v>137,530,856 (10.01%)</v>
      </c>
      <c r="H73" s="5" t="str">
        <f t="shared" si="13"/>
        <v>141,384 (8.33%)</v>
      </c>
      <c r="I73" s="5"/>
    </row>
    <row r="74" spans="1:9" x14ac:dyDescent="0.6">
      <c r="A74">
        <v>2</v>
      </c>
      <c r="B74" t="s">
        <v>294</v>
      </c>
      <c r="C74" s="5" t="s">
        <v>335</v>
      </c>
      <c r="D74" s="5">
        <v>0.13533528149127899</v>
      </c>
      <c r="E74" s="5" t="s">
        <v>192</v>
      </c>
      <c r="F74" s="5" t="s">
        <v>193</v>
      </c>
      <c r="G74" s="5" t="str">
        <f t="shared" si="12"/>
        <v>164,658,008 (11.98%)</v>
      </c>
      <c r="H74" s="5" t="str">
        <f t="shared" si="13"/>
        <v>166,840 (9.83%)</v>
      </c>
      <c r="I74" s="5"/>
    </row>
    <row r="75" spans="1:9" x14ac:dyDescent="0.6">
      <c r="A75">
        <v>2</v>
      </c>
      <c r="B75" t="s">
        <v>294</v>
      </c>
      <c r="C75" s="5" t="s">
        <v>335</v>
      </c>
      <c r="D75" s="5">
        <v>0.18887560069560999</v>
      </c>
      <c r="E75" s="5" t="s">
        <v>194</v>
      </c>
      <c r="F75" s="5" t="s">
        <v>195</v>
      </c>
      <c r="G75" s="5" t="str">
        <f t="shared" si="12"/>
        <v>167,992,916 (12.22%)</v>
      </c>
      <c r="H75" s="5" t="str">
        <f t="shared" si="13"/>
        <v>184,040 (10.84%)</v>
      </c>
      <c r="I75" s="5"/>
    </row>
    <row r="76" spans="1:9" x14ac:dyDescent="0.6">
      <c r="A76">
        <v>2</v>
      </c>
      <c r="B76" t="s">
        <v>294</v>
      </c>
      <c r="C76" s="5" t="s">
        <v>335</v>
      </c>
      <c r="D76" s="5">
        <v>0.26359713077545099</v>
      </c>
      <c r="E76" s="5" t="s">
        <v>196</v>
      </c>
      <c r="F76" s="5" t="s">
        <v>197</v>
      </c>
      <c r="G76" s="5" t="str">
        <f t="shared" si="12"/>
        <v>172,135,536 (12.53%)</v>
      </c>
      <c r="H76" s="5" t="str">
        <f t="shared" si="13"/>
        <v>280,704 (16.53%)</v>
      </c>
      <c r="I76" s="5"/>
    </row>
    <row r="77" spans="1:9" x14ac:dyDescent="0.6">
      <c r="A77">
        <v>2</v>
      </c>
      <c r="B77" t="s">
        <v>294</v>
      </c>
      <c r="C77" s="5" t="s">
        <v>335</v>
      </c>
      <c r="D77" s="5">
        <v>0.36787945032119701</v>
      </c>
      <c r="E77" s="5" t="s">
        <v>198</v>
      </c>
      <c r="F77" s="5" t="s">
        <v>199</v>
      </c>
      <c r="G77" s="5" t="str">
        <f t="shared" si="12"/>
        <v>213,863,596 (15.56%)</v>
      </c>
      <c r="H77" s="5" t="str">
        <f t="shared" si="13"/>
        <v>233,232 (13.74%)</v>
      </c>
      <c r="I77" s="5"/>
    </row>
    <row r="78" spans="1:9" x14ac:dyDescent="0.6">
      <c r="A78">
        <v>2</v>
      </c>
      <c r="B78" t="s">
        <v>294</v>
      </c>
      <c r="C78" s="5" t="s">
        <v>335</v>
      </c>
      <c r="D78" s="5">
        <v>0.51341712474822998</v>
      </c>
      <c r="E78" s="5" t="s">
        <v>200</v>
      </c>
      <c r="F78" s="5" t="s">
        <v>201</v>
      </c>
      <c r="G78" s="5" t="str">
        <f t="shared" si="12"/>
        <v>158,217,984 (11.51%)</v>
      </c>
      <c r="H78" s="5" t="str">
        <f t="shared" si="13"/>
        <v>278,124 (16.38%)</v>
      </c>
      <c r="I78" s="5"/>
    </row>
    <row r="79" spans="1:9" x14ac:dyDescent="0.6">
      <c r="A79">
        <v>2</v>
      </c>
      <c r="B79" t="s">
        <v>294</v>
      </c>
      <c r="C79" s="5" t="s">
        <v>335</v>
      </c>
      <c r="D79" s="5">
        <v>0.71653133630752497</v>
      </c>
      <c r="E79" s="5" t="s">
        <v>202</v>
      </c>
      <c r="F79" s="5" t="s">
        <v>203</v>
      </c>
      <c r="G79" s="5" t="str">
        <f t="shared" si="12"/>
        <v>172,364,640 (12.54%)</v>
      </c>
      <c r="H79" s="5" t="str">
        <f t="shared" si="13"/>
        <v>202,272 (11.91%)</v>
      </c>
      <c r="I79" s="5"/>
    </row>
    <row r="80" spans="1:9" x14ac:dyDescent="0.6">
      <c r="A80">
        <v>2</v>
      </c>
      <c r="B80" t="s">
        <v>294</v>
      </c>
      <c r="C80" s="5" t="s">
        <v>335</v>
      </c>
      <c r="D80" s="5">
        <v>1</v>
      </c>
      <c r="E80" s="5" t="s">
        <v>204</v>
      </c>
      <c r="F80" s="5" t="s">
        <v>205</v>
      </c>
      <c r="G80" s="5" t="str">
        <f t="shared" si="12"/>
        <v>93,052,172 (6.77%)</v>
      </c>
      <c r="H80" s="5" t="str">
        <f t="shared" si="13"/>
        <v>96,148 (5.66%)</v>
      </c>
      <c r="I80" s="5"/>
    </row>
    <row r="81" spans="1:9" x14ac:dyDescent="0.6">
      <c r="A81">
        <v>3</v>
      </c>
      <c r="B81" t="s">
        <v>292</v>
      </c>
      <c r="C81" s="5" t="s">
        <v>331</v>
      </c>
      <c r="D81" s="5" t="s">
        <v>26</v>
      </c>
      <c r="E81" s="5" t="s">
        <v>206</v>
      </c>
      <c r="F81" s="5" t="s">
        <v>207</v>
      </c>
      <c r="G81" s="5" t="s">
        <v>206</v>
      </c>
      <c r="H81" s="5" t="s">
        <v>207</v>
      </c>
      <c r="I81" s="5" t="s">
        <v>208</v>
      </c>
    </row>
    <row r="82" spans="1:9" x14ac:dyDescent="0.6">
      <c r="A82">
        <v>0</v>
      </c>
      <c r="B82" t="s">
        <v>291</v>
      </c>
      <c r="C82" s="5" t="s">
        <v>352</v>
      </c>
      <c r="D82" s="5" t="s">
        <v>26</v>
      </c>
      <c r="E82" s="5" t="s">
        <v>209</v>
      </c>
      <c r="F82" s="5" t="s">
        <v>210</v>
      </c>
      <c r="G82" s="5" t="s">
        <v>209</v>
      </c>
      <c r="H82" s="5" t="s">
        <v>210</v>
      </c>
      <c r="I82" s="5" t="s">
        <v>211</v>
      </c>
    </row>
    <row r="83" spans="1:9" x14ac:dyDescent="0.6">
      <c r="A83">
        <v>0</v>
      </c>
      <c r="B83" t="s">
        <v>291</v>
      </c>
      <c r="C83" s="5" t="s">
        <v>346</v>
      </c>
      <c r="D83" s="5">
        <v>0</v>
      </c>
      <c r="E83" s="5" t="s">
        <v>212</v>
      </c>
      <c r="F83" s="5" t="s">
        <v>213</v>
      </c>
      <c r="G83" s="5" t="str">
        <f t="shared" ref="G83:G90" si="14">TEXT(SUBSTITUTE(LEFT(E83, FIND("(", E83) - 1), ",", "") * 172, "#,##0") &amp; " " &amp; MID(E83, FIND("(", E83), LEN(E83))</f>
        <v>1,373,874,080 (99.98%)</v>
      </c>
      <c r="H83" s="5" t="str">
        <f t="shared" ref="H83:H90" si="15">TEXT(SUBSTITUTE(LEFT(F83, FIND("(", F83) - 1), ",", "") * 172, "#,##0") &amp; " " &amp; MID(F83, FIND("(", F83), LEN(F83))</f>
        <v>1,692,652 (99.69%)</v>
      </c>
      <c r="I83" s="5" t="s">
        <v>214</v>
      </c>
    </row>
    <row r="84" spans="1:9" x14ac:dyDescent="0.6">
      <c r="A84">
        <v>0</v>
      </c>
      <c r="B84" t="s">
        <v>291</v>
      </c>
      <c r="C84" s="5" t="s">
        <v>346</v>
      </c>
      <c r="D84" s="5">
        <v>1</v>
      </c>
      <c r="E84" s="5" t="s">
        <v>215</v>
      </c>
      <c r="F84" s="5" t="s">
        <v>216</v>
      </c>
      <c r="G84" s="5" t="str">
        <f t="shared" si="14"/>
        <v>335,572 (0.02%)</v>
      </c>
      <c r="H84" s="5" t="str">
        <f t="shared" si="15"/>
        <v>5,332 (0.31%)</v>
      </c>
      <c r="I84" s="5"/>
    </row>
    <row r="85" spans="1:9" x14ac:dyDescent="0.6">
      <c r="A85">
        <v>0</v>
      </c>
      <c r="B85" t="s">
        <v>291</v>
      </c>
      <c r="C85" s="5" t="s">
        <v>310</v>
      </c>
      <c r="D85" s="5">
        <v>0</v>
      </c>
      <c r="E85" s="5" t="s">
        <v>217</v>
      </c>
      <c r="F85" s="5" t="s">
        <v>218</v>
      </c>
      <c r="G85" s="5" t="str">
        <f t="shared" si="14"/>
        <v>1,305,030,564 (94.97%)</v>
      </c>
      <c r="H85" s="5" t="str">
        <f t="shared" si="15"/>
        <v>1,679,580 (98.92%)</v>
      </c>
      <c r="I85" s="5" t="s">
        <v>219</v>
      </c>
    </row>
    <row r="86" spans="1:9" x14ac:dyDescent="0.6">
      <c r="A86">
        <v>0</v>
      </c>
      <c r="B86" t="s">
        <v>291</v>
      </c>
      <c r="C86" s="5" t="s">
        <v>310</v>
      </c>
      <c r="D86" s="5">
        <v>1</v>
      </c>
      <c r="E86" s="5" t="s">
        <v>220</v>
      </c>
      <c r="F86" s="5" t="s">
        <v>221</v>
      </c>
      <c r="G86" s="5" t="str">
        <f t="shared" si="14"/>
        <v>69,179,088 (5.03%)</v>
      </c>
      <c r="H86" s="5" t="str">
        <f t="shared" si="15"/>
        <v>18,404 (1.08%)</v>
      </c>
      <c r="I86" s="5"/>
    </row>
    <row r="87" spans="1:9" x14ac:dyDescent="0.6">
      <c r="A87">
        <v>0</v>
      </c>
      <c r="B87" t="s">
        <v>291</v>
      </c>
      <c r="C87" s="5" t="s">
        <v>341</v>
      </c>
      <c r="D87" s="5">
        <v>0</v>
      </c>
      <c r="E87" s="5" t="s">
        <v>217</v>
      </c>
      <c r="F87" s="5" t="s">
        <v>218</v>
      </c>
      <c r="G87" s="5" t="str">
        <f t="shared" si="14"/>
        <v>1,305,030,564 (94.97%)</v>
      </c>
      <c r="H87" s="5" t="str">
        <f t="shared" si="15"/>
        <v>1,679,580 (98.92%)</v>
      </c>
      <c r="I87" s="5" t="s">
        <v>219</v>
      </c>
    </row>
    <row r="88" spans="1:9" x14ac:dyDescent="0.6">
      <c r="A88">
        <v>0</v>
      </c>
      <c r="B88" t="s">
        <v>291</v>
      </c>
      <c r="C88" s="5" t="s">
        <v>341</v>
      </c>
      <c r="D88" s="5">
        <v>1</v>
      </c>
      <c r="E88" s="5" t="s">
        <v>220</v>
      </c>
      <c r="F88" s="5" t="s">
        <v>221</v>
      </c>
      <c r="G88" s="5" t="str">
        <f t="shared" si="14"/>
        <v>69,179,088 (5.03%)</v>
      </c>
      <c r="H88" s="5" t="str">
        <f t="shared" si="15"/>
        <v>18,404 (1.08%)</v>
      </c>
      <c r="I88" s="5"/>
    </row>
    <row r="89" spans="1:9" x14ac:dyDescent="0.6">
      <c r="A89">
        <v>0</v>
      </c>
      <c r="B89" t="s">
        <v>291</v>
      </c>
      <c r="C89" s="5" t="s">
        <v>307</v>
      </c>
      <c r="D89" s="5">
        <v>0</v>
      </c>
      <c r="E89" s="5" t="s">
        <v>217</v>
      </c>
      <c r="F89" s="5" t="s">
        <v>218</v>
      </c>
      <c r="G89" s="5" t="str">
        <f t="shared" si="14"/>
        <v>1,305,030,564 (94.97%)</v>
      </c>
      <c r="H89" s="5" t="str">
        <f t="shared" si="15"/>
        <v>1,679,580 (98.92%)</v>
      </c>
      <c r="I89" s="5" t="s">
        <v>219</v>
      </c>
    </row>
    <row r="90" spans="1:9" x14ac:dyDescent="0.6">
      <c r="A90">
        <v>0</v>
      </c>
      <c r="B90" t="s">
        <v>291</v>
      </c>
      <c r="C90" s="5" t="s">
        <v>307</v>
      </c>
      <c r="D90" s="5">
        <v>1</v>
      </c>
      <c r="E90" s="5" t="s">
        <v>220</v>
      </c>
      <c r="F90" s="5" t="s">
        <v>221</v>
      </c>
      <c r="G90" s="5" t="str">
        <f t="shared" si="14"/>
        <v>69,179,088 (5.03%)</v>
      </c>
      <c r="H90" s="5" t="str">
        <f t="shared" si="15"/>
        <v>18,404 (1.08%)</v>
      </c>
      <c r="I90" s="5"/>
    </row>
    <row r="91" spans="1:9" x14ac:dyDescent="0.6">
      <c r="A91">
        <v>4</v>
      </c>
      <c r="B91" t="s">
        <v>293</v>
      </c>
      <c r="C91" s="5" t="s">
        <v>334</v>
      </c>
      <c r="D91" s="5" t="s">
        <v>26</v>
      </c>
      <c r="E91" s="5" t="s">
        <v>222</v>
      </c>
      <c r="F91" s="5" t="s">
        <v>223</v>
      </c>
      <c r="G91" s="5" t="s">
        <v>222</v>
      </c>
      <c r="H91" s="5" t="s">
        <v>223</v>
      </c>
      <c r="I91" s="5" t="s">
        <v>224</v>
      </c>
    </row>
    <row r="92" spans="1:9" x14ac:dyDescent="0.6">
      <c r="A92">
        <v>3</v>
      </c>
      <c r="B92" t="s">
        <v>292</v>
      </c>
      <c r="C92" s="5" t="s">
        <v>355</v>
      </c>
      <c r="D92" s="5" t="s">
        <v>26</v>
      </c>
      <c r="E92" s="5" t="s">
        <v>225</v>
      </c>
      <c r="F92" s="5" t="s">
        <v>226</v>
      </c>
      <c r="G92" s="5" t="s">
        <v>225</v>
      </c>
      <c r="H92" s="5" t="s">
        <v>226</v>
      </c>
      <c r="I92" s="5" t="s">
        <v>227</v>
      </c>
    </row>
    <row r="93" spans="1:9" x14ac:dyDescent="0.6">
      <c r="A93">
        <v>3</v>
      </c>
      <c r="B93" t="s">
        <v>292</v>
      </c>
      <c r="C93" s="5" t="s">
        <v>321</v>
      </c>
      <c r="D93" s="5" t="s">
        <v>26</v>
      </c>
      <c r="E93" s="5" t="s">
        <v>228</v>
      </c>
      <c r="F93" s="5" t="s">
        <v>229</v>
      </c>
      <c r="G93" s="5" t="s">
        <v>228</v>
      </c>
      <c r="H93" s="5" t="s">
        <v>229</v>
      </c>
      <c r="I93" s="5" t="s">
        <v>230</v>
      </c>
    </row>
    <row r="94" spans="1:9" x14ac:dyDescent="0.6">
      <c r="A94">
        <v>0</v>
      </c>
      <c r="B94" t="s">
        <v>291</v>
      </c>
      <c r="C94" s="5" t="s">
        <v>299</v>
      </c>
      <c r="D94" s="5" t="s">
        <v>26</v>
      </c>
      <c r="E94" s="5" t="s">
        <v>231</v>
      </c>
      <c r="F94" s="5" t="s">
        <v>232</v>
      </c>
      <c r="G94" s="5" t="s">
        <v>231</v>
      </c>
      <c r="H94" s="5" t="s">
        <v>232</v>
      </c>
      <c r="I94" s="5" t="s">
        <v>233</v>
      </c>
    </row>
    <row r="95" spans="1:9" x14ac:dyDescent="0.6">
      <c r="A95">
        <v>2</v>
      </c>
      <c r="B95" t="s">
        <v>294</v>
      </c>
      <c r="C95" s="5" t="s">
        <v>304</v>
      </c>
      <c r="D95" s="5">
        <v>1</v>
      </c>
      <c r="E95" s="5" t="s">
        <v>234</v>
      </c>
      <c r="F95" s="5" t="s">
        <v>235</v>
      </c>
      <c r="G95" s="5" t="str">
        <f t="shared" ref="G95:G99" si="16">TEXT(SUBSTITUTE(LEFT(E95, FIND("(", E95) - 1), ",", "") * 172, "#,##0") &amp; " " &amp; MID(E95, FIND("(", E95), LEN(E95))</f>
        <v>311,767,200 (22.69%)</v>
      </c>
      <c r="H95" s="5" t="str">
        <f t="shared" ref="H95:H99" si="17">TEXT(SUBSTITUTE(LEFT(F95, FIND("(", F95) - 1), ",", "") * 172, "#,##0") &amp; " " &amp; MID(F95, FIND("(", F95), LEN(F95))</f>
        <v>397,836 (23.43%)</v>
      </c>
      <c r="I95" s="5" t="s">
        <v>236</v>
      </c>
    </row>
    <row r="96" spans="1:9" x14ac:dyDescent="0.6">
      <c r="A96">
        <v>2</v>
      </c>
      <c r="B96" t="s">
        <v>294</v>
      </c>
      <c r="C96" s="5" t="s">
        <v>304</v>
      </c>
      <c r="D96" s="5">
        <v>2</v>
      </c>
      <c r="E96" s="5" t="s">
        <v>237</v>
      </c>
      <c r="F96" s="5" t="s">
        <v>238</v>
      </c>
      <c r="G96" s="5" t="str">
        <f t="shared" si="16"/>
        <v>314,790,100 (22.91%)</v>
      </c>
      <c r="H96" s="5" t="str">
        <f t="shared" si="17"/>
        <v>457,692 (26.96%)</v>
      </c>
      <c r="I96" s="5"/>
    </row>
    <row r="97" spans="1:9" x14ac:dyDescent="0.6">
      <c r="A97">
        <v>2</v>
      </c>
      <c r="B97" t="s">
        <v>294</v>
      </c>
      <c r="C97" s="5" t="s">
        <v>304</v>
      </c>
      <c r="D97" s="5">
        <v>3</v>
      </c>
      <c r="E97" s="5" t="s">
        <v>239</v>
      </c>
      <c r="F97" s="5" t="s">
        <v>240</v>
      </c>
      <c r="G97" s="5" t="str">
        <f t="shared" si="16"/>
        <v>302,529,080 (22.01%)</v>
      </c>
      <c r="H97" s="5" t="str">
        <f t="shared" si="17"/>
        <v>306,504 (18.05%)</v>
      </c>
      <c r="I97" s="5"/>
    </row>
    <row r="98" spans="1:9" x14ac:dyDescent="0.6">
      <c r="A98">
        <v>2</v>
      </c>
      <c r="B98" t="s">
        <v>294</v>
      </c>
      <c r="C98" s="5" t="s">
        <v>304</v>
      </c>
      <c r="D98" s="5">
        <v>4</v>
      </c>
      <c r="E98" s="5" t="s">
        <v>241</v>
      </c>
      <c r="F98" s="5" t="s">
        <v>242</v>
      </c>
      <c r="G98" s="5" t="str">
        <f t="shared" si="16"/>
        <v>327,408,708 (23.83%)</v>
      </c>
      <c r="H98" s="5" t="str">
        <f t="shared" si="17"/>
        <v>362,920 (21.37%)</v>
      </c>
      <c r="I98" s="5"/>
    </row>
    <row r="99" spans="1:9" x14ac:dyDescent="0.6">
      <c r="A99">
        <v>2</v>
      </c>
      <c r="B99" t="s">
        <v>294</v>
      </c>
      <c r="C99" s="5" t="s">
        <v>304</v>
      </c>
      <c r="D99" s="5">
        <v>5</v>
      </c>
      <c r="E99" s="5" t="s">
        <v>243</v>
      </c>
      <c r="F99" s="5" t="s">
        <v>244</v>
      </c>
      <c r="G99" s="5" t="str">
        <f t="shared" si="16"/>
        <v>117,714,564 (8.57%)</v>
      </c>
      <c r="H99" s="5" t="str">
        <f t="shared" si="17"/>
        <v>173,032 (10.19%)</v>
      </c>
      <c r="I99" s="5"/>
    </row>
    <row r="100" spans="1:9" x14ac:dyDescent="0.6">
      <c r="A100">
        <v>0</v>
      </c>
      <c r="B100" t="s">
        <v>291</v>
      </c>
      <c r="C100" s="5" t="s">
        <v>298</v>
      </c>
      <c r="D100" s="5" t="s">
        <v>26</v>
      </c>
      <c r="E100" s="5" t="s">
        <v>245</v>
      </c>
      <c r="F100" s="5" t="s">
        <v>246</v>
      </c>
      <c r="G100" s="5" t="s">
        <v>245</v>
      </c>
      <c r="H100" s="5" t="s">
        <v>246</v>
      </c>
      <c r="I100" s="5" t="s">
        <v>247</v>
      </c>
    </row>
    <row r="101" spans="1:9" x14ac:dyDescent="0.6">
      <c r="A101">
        <v>3</v>
      </c>
      <c r="B101" t="s">
        <v>292</v>
      </c>
      <c r="C101" s="5" t="s">
        <v>330</v>
      </c>
      <c r="D101" s="5" t="s">
        <v>26</v>
      </c>
      <c r="E101" s="5" t="s">
        <v>248</v>
      </c>
      <c r="F101" s="5" t="s">
        <v>249</v>
      </c>
      <c r="G101" s="5" t="s">
        <v>248</v>
      </c>
      <c r="H101" s="5" t="s">
        <v>249</v>
      </c>
      <c r="I101" s="5" t="s">
        <v>250</v>
      </c>
    </row>
    <row r="102" spans="1:9" x14ac:dyDescent="0.6">
      <c r="A102">
        <v>0</v>
      </c>
      <c r="B102" t="s">
        <v>291</v>
      </c>
      <c r="C102" s="5" t="s">
        <v>323</v>
      </c>
      <c r="D102" s="5">
        <v>0</v>
      </c>
      <c r="E102" s="5" t="s">
        <v>251</v>
      </c>
      <c r="F102" s="5" t="s">
        <v>252</v>
      </c>
      <c r="G102" s="5" t="str">
        <f t="shared" ref="G102:G103" si="18">TEXT(SUBSTITUTE(LEFT(E102, FIND("(", E102) - 1), ",", "") * 172, "#,##0") &amp; " " &amp; MID(E102, FIND("(", E102), LEN(E102))</f>
        <v>1,177,230,436 (85.67%)</v>
      </c>
      <c r="H102" s="5" t="str">
        <f t="shared" ref="H102:H103" si="19">TEXT(SUBSTITUTE(LEFT(F102, FIND("(", F102) - 1), ",", "") * 172, "#,##0") &amp; " " &amp; MID(F102, FIND("(", F102), LEN(F102))</f>
        <v>1,515,836 (89.27%)</v>
      </c>
      <c r="I102" s="5" t="s">
        <v>253</v>
      </c>
    </row>
    <row r="103" spans="1:9" x14ac:dyDescent="0.6">
      <c r="A103">
        <v>0</v>
      </c>
      <c r="B103" t="s">
        <v>291</v>
      </c>
      <c r="C103" s="5" t="s">
        <v>323</v>
      </c>
      <c r="D103" s="5">
        <v>1</v>
      </c>
      <c r="E103" s="5" t="s">
        <v>254</v>
      </c>
      <c r="F103" s="5" t="s">
        <v>255</v>
      </c>
      <c r="G103" s="5" t="str">
        <f t="shared" si="18"/>
        <v>196,979,216 (14.33%)</v>
      </c>
      <c r="H103" s="5" t="str">
        <f t="shared" si="19"/>
        <v>182,148 (10.73%)</v>
      </c>
      <c r="I103" s="5"/>
    </row>
    <row r="104" spans="1:9" x14ac:dyDescent="0.6">
      <c r="A104">
        <v>2</v>
      </c>
      <c r="B104" t="s">
        <v>294</v>
      </c>
      <c r="C104" s="5" t="s">
        <v>327</v>
      </c>
      <c r="D104" s="5" t="s">
        <v>26</v>
      </c>
      <c r="E104" s="5" t="s">
        <v>256</v>
      </c>
      <c r="F104" s="5" t="s">
        <v>257</v>
      </c>
      <c r="G104" s="5" t="s">
        <v>256</v>
      </c>
      <c r="H104" s="5" t="s">
        <v>257</v>
      </c>
      <c r="I104" s="5" t="s">
        <v>258</v>
      </c>
    </row>
    <row r="105" spans="1:9" x14ac:dyDescent="0.6">
      <c r="A105">
        <v>1</v>
      </c>
      <c r="B105" t="s">
        <v>295</v>
      </c>
      <c r="C105" s="5" t="s">
        <v>337</v>
      </c>
      <c r="D105" s="5" t="s">
        <v>26</v>
      </c>
      <c r="E105" s="5" t="s">
        <v>150</v>
      </c>
      <c r="F105" s="5" t="s">
        <v>259</v>
      </c>
      <c r="G105" s="5" t="s">
        <v>150</v>
      </c>
      <c r="H105" s="5" t="s">
        <v>259</v>
      </c>
      <c r="I105" s="5" t="s">
        <v>260</v>
      </c>
    </row>
    <row r="106" spans="1:9" x14ac:dyDescent="0.6">
      <c r="A106">
        <v>0</v>
      </c>
      <c r="B106" t="s">
        <v>291</v>
      </c>
      <c r="C106" s="5" t="s">
        <v>314</v>
      </c>
      <c r="D106" s="5">
        <v>0</v>
      </c>
      <c r="E106" s="5" t="s">
        <v>261</v>
      </c>
      <c r="F106" s="5" t="s">
        <v>262</v>
      </c>
      <c r="G106" s="5" t="str">
        <f t="shared" ref="G106:G109" si="20">TEXT(SUBSTITUTE(LEFT(E106, FIND("(", E106) - 1), ",", "") * 172, "#,##0") &amp; " " &amp; MID(E106, FIND("(", E106), LEN(E106))</f>
        <v>1,374,098,540 (99.99%)</v>
      </c>
      <c r="H106" s="5" t="str">
        <f t="shared" ref="H106:H109" si="21">TEXT(SUBSTITUTE(LEFT(F106, FIND("(", F106) - 1), ",", "") * 172, "#,##0") &amp; " " &amp; MID(F106, FIND("(", F106), LEN(F106))</f>
        <v>1,697,124 (99.95%)</v>
      </c>
      <c r="I106" s="5" t="s">
        <v>263</v>
      </c>
    </row>
    <row r="107" spans="1:9" x14ac:dyDescent="0.6">
      <c r="A107">
        <v>0</v>
      </c>
      <c r="B107" t="s">
        <v>291</v>
      </c>
      <c r="C107" s="5" t="s">
        <v>314</v>
      </c>
      <c r="D107" s="5">
        <v>1</v>
      </c>
      <c r="E107" s="5" t="s">
        <v>57</v>
      </c>
      <c r="F107" s="5" t="s">
        <v>58</v>
      </c>
      <c r="G107" s="5" t="str">
        <f t="shared" si="20"/>
        <v>111,112 (0.01%)</v>
      </c>
      <c r="H107" s="5" t="str">
        <f t="shared" si="21"/>
        <v>860 (0.05%)</v>
      </c>
      <c r="I107" s="5"/>
    </row>
    <row r="108" spans="1:9" x14ac:dyDescent="0.6">
      <c r="A108">
        <v>0</v>
      </c>
      <c r="B108" t="s">
        <v>291</v>
      </c>
      <c r="C108" s="5" t="s">
        <v>315</v>
      </c>
      <c r="D108" s="5">
        <v>0</v>
      </c>
      <c r="E108" s="5" t="s">
        <v>264</v>
      </c>
      <c r="F108" s="5" t="s">
        <v>265</v>
      </c>
      <c r="G108" s="5" t="str">
        <f t="shared" si="20"/>
        <v>1,373,085,116 (99.92%)</v>
      </c>
      <c r="H108" s="5" t="str">
        <f t="shared" si="21"/>
        <v>1,694,716 (99.81%)</v>
      </c>
      <c r="I108" s="5" t="s">
        <v>266</v>
      </c>
    </row>
    <row r="109" spans="1:9" x14ac:dyDescent="0.6">
      <c r="A109">
        <v>0</v>
      </c>
      <c r="B109" t="s">
        <v>291</v>
      </c>
      <c r="C109" s="5" t="s">
        <v>315</v>
      </c>
      <c r="D109" s="5">
        <v>1</v>
      </c>
      <c r="E109" s="5" t="s">
        <v>59</v>
      </c>
      <c r="F109" s="5" t="s">
        <v>60</v>
      </c>
      <c r="G109" s="5" t="str">
        <f t="shared" si="20"/>
        <v>1,124,536 (0.08%)</v>
      </c>
      <c r="H109" s="5" t="str">
        <f t="shared" si="21"/>
        <v>3,268 (0.19%)</v>
      </c>
      <c r="I109" s="5"/>
    </row>
    <row r="110" spans="1:9" x14ac:dyDescent="0.6">
      <c r="A110">
        <v>2</v>
      </c>
      <c r="B110" t="s">
        <v>294</v>
      </c>
      <c r="C110" s="5" t="s">
        <v>329</v>
      </c>
      <c r="D110" s="5" t="s">
        <v>26</v>
      </c>
      <c r="E110" s="5" t="s">
        <v>267</v>
      </c>
      <c r="F110" s="5" t="s">
        <v>268</v>
      </c>
      <c r="G110" s="5" t="s">
        <v>267</v>
      </c>
      <c r="H110" s="5" t="s">
        <v>268</v>
      </c>
      <c r="I110" s="5" t="s">
        <v>269</v>
      </c>
    </row>
    <row r="111" spans="1:9" x14ac:dyDescent="0.6">
      <c r="A111">
        <v>0</v>
      </c>
      <c r="B111" t="s">
        <v>291</v>
      </c>
      <c r="C111" s="5" t="s">
        <v>302</v>
      </c>
      <c r="D111" s="5" t="s">
        <v>26</v>
      </c>
      <c r="E111" s="5" t="s">
        <v>270</v>
      </c>
      <c r="F111" s="5" t="s">
        <v>271</v>
      </c>
      <c r="G111" s="5" t="s">
        <v>270</v>
      </c>
      <c r="H111" s="5" t="s">
        <v>271</v>
      </c>
      <c r="I111" s="5" t="s">
        <v>272</v>
      </c>
    </row>
    <row r="112" spans="1:9" x14ac:dyDescent="0.6">
      <c r="A112">
        <v>0</v>
      </c>
      <c r="B112" t="s">
        <v>291</v>
      </c>
      <c r="C112" s="5" t="s">
        <v>349</v>
      </c>
      <c r="D112" s="5">
        <v>0</v>
      </c>
      <c r="E112" s="5" t="s">
        <v>273</v>
      </c>
      <c r="F112" s="5" t="s">
        <v>274</v>
      </c>
      <c r="G112" s="5" t="str">
        <f t="shared" ref="G112:G121" si="22">TEXT(SUBSTITUTE(LEFT(E112, FIND("(", E112) - 1), ",", "") * 172, "#,##0") &amp; " " &amp; MID(E112, FIND("(", E112), LEN(E112))</f>
        <v>1,373,628,808 (99.96%)</v>
      </c>
      <c r="H112" s="5" t="str">
        <f t="shared" ref="H112:H121" si="23">TEXT(SUBSTITUTE(LEFT(F112, FIND("(", F112) - 1), ",", "") * 172, "#,##0") &amp; " " &amp; MID(F112, FIND("(", F112), LEN(F112))</f>
        <v>1,696,608 (99.92%)</v>
      </c>
      <c r="I112" s="5" t="s">
        <v>275</v>
      </c>
    </row>
    <row r="113" spans="1:9" x14ac:dyDescent="0.6">
      <c r="A113">
        <v>0</v>
      </c>
      <c r="B113" t="s">
        <v>291</v>
      </c>
      <c r="C113" s="5" t="s">
        <v>349</v>
      </c>
      <c r="D113" s="5">
        <v>1</v>
      </c>
      <c r="E113" s="5" t="s">
        <v>276</v>
      </c>
      <c r="F113" s="5" t="s">
        <v>277</v>
      </c>
      <c r="G113" s="5" t="str">
        <f t="shared" si="22"/>
        <v>580,844 (0.04%)</v>
      </c>
      <c r="H113" s="5" t="str">
        <f t="shared" si="23"/>
        <v>1,376 (0.08%)</v>
      </c>
      <c r="I113" s="5"/>
    </row>
    <row r="114" spans="1:9" x14ac:dyDescent="0.6">
      <c r="A114">
        <v>0</v>
      </c>
      <c r="B114" t="s">
        <v>291</v>
      </c>
      <c r="C114" s="5" t="s">
        <v>320</v>
      </c>
      <c r="D114" s="5">
        <v>0</v>
      </c>
      <c r="E114" s="5" t="s">
        <v>278</v>
      </c>
      <c r="F114" s="5" t="s">
        <v>279</v>
      </c>
      <c r="G114" s="5" t="str">
        <f t="shared" si="22"/>
        <v>1,373,758,668 (99.97%)</v>
      </c>
      <c r="H114" s="5" t="str">
        <f t="shared" si="23"/>
        <v>1,697,984 (100.00%)</v>
      </c>
      <c r="I114" s="5" t="s">
        <v>280</v>
      </c>
    </row>
    <row r="115" spans="1:9" x14ac:dyDescent="0.6">
      <c r="A115">
        <v>0</v>
      </c>
      <c r="B115" t="s">
        <v>291</v>
      </c>
      <c r="C115" s="5" t="s">
        <v>320</v>
      </c>
      <c r="D115" s="5">
        <v>1</v>
      </c>
      <c r="E115" s="5" t="s">
        <v>281</v>
      </c>
      <c r="F115" s="5" t="s">
        <v>53</v>
      </c>
      <c r="G115" s="5" t="str">
        <f t="shared" si="22"/>
        <v>450,984 (0.03%)</v>
      </c>
      <c r="H115" s="5" t="str">
        <f t="shared" si="23"/>
        <v>0 (0.00%)</v>
      </c>
      <c r="I115" s="5"/>
    </row>
    <row r="116" spans="1:9" x14ac:dyDescent="0.6">
      <c r="A116">
        <v>0</v>
      </c>
      <c r="B116" t="s">
        <v>291</v>
      </c>
      <c r="C116" s="5" t="s">
        <v>312</v>
      </c>
      <c r="D116" s="5">
        <v>0</v>
      </c>
      <c r="E116" s="5" t="s">
        <v>282</v>
      </c>
      <c r="F116" s="5" t="s">
        <v>279</v>
      </c>
      <c r="G116" s="5" t="str">
        <f t="shared" si="22"/>
        <v>1,373,798,056 (99.97%)</v>
      </c>
      <c r="H116" s="5" t="str">
        <f t="shared" si="23"/>
        <v>1,697,984 (100.00%)</v>
      </c>
      <c r="I116" s="5" t="s">
        <v>283</v>
      </c>
    </row>
    <row r="117" spans="1:9" x14ac:dyDescent="0.6">
      <c r="A117">
        <v>0</v>
      </c>
      <c r="B117" t="s">
        <v>291</v>
      </c>
      <c r="C117" s="5" t="s">
        <v>312</v>
      </c>
      <c r="D117" s="5">
        <v>1</v>
      </c>
      <c r="E117" s="5" t="s">
        <v>52</v>
      </c>
      <c r="F117" s="5" t="s">
        <v>53</v>
      </c>
      <c r="G117" s="5" t="str">
        <f t="shared" si="22"/>
        <v>411,596 (0.03%)</v>
      </c>
      <c r="H117" s="5" t="str">
        <f t="shared" si="23"/>
        <v>0 (0.00%)</v>
      </c>
      <c r="I117" s="5"/>
    </row>
    <row r="118" spans="1:9" x14ac:dyDescent="0.6">
      <c r="A118">
        <v>0</v>
      </c>
      <c r="B118" t="s">
        <v>291</v>
      </c>
      <c r="C118" s="5" t="s">
        <v>313</v>
      </c>
      <c r="D118" s="5">
        <v>0</v>
      </c>
      <c r="E118" s="5" t="s">
        <v>284</v>
      </c>
      <c r="F118" s="5" t="s">
        <v>285</v>
      </c>
      <c r="G118" s="5" t="str">
        <f t="shared" si="22"/>
        <v>1,372,684,872 (99.89%)</v>
      </c>
      <c r="H118" s="5" t="str">
        <f t="shared" si="23"/>
        <v>1,696,436 (99.91%)</v>
      </c>
      <c r="I118" s="5" t="s">
        <v>286</v>
      </c>
    </row>
    <row r="119" spans="1:9" x14ac:dyDescent="0.6">
      <c r="A119">
        <v>0</v>
      </c>
      <c r="B119" t="s">
        <v>291</v>
      </c>
      <c r="C119" s="5" t="s">
        <v>313</v>
      </c>
      <c r="D119" s="5">
        <v>1</v>
      </c>
      <c r="E119" s="5" t="s">
        <v>55</v>
      </c>
      <c r="F119" s="5" t="s">
        <v>56</v>
      </c>
      <c r="G119" s="5" t="str">
        <f t="shared" si="22"/>
        <v>1,524,780 (0.11%)</v>
      </c>
      <c r="H119" s="5" t="str">
        <f t="shared" si="23"/>
        <v>1,548 (0.09%)</v>
      </c>
      <c r="I119" s="5"/>
    </row>
    <row r="120" spans="1:9" x14ac:dyDescent="0.6">
      <c r="A120">
        <v>0</v>
      </c>
      <c r="B120" t="s">
        <v>291</v>
      </c>
      <c r="C120" s="5" t="s">
        <v>311</v>
      </c>
      <c r="D120" s="5">
        <v>0</v>
      </c>
      <c r="E120" s="5" t="s">
        <v>287</v>
      </c>
      <c r="F120" s="5" t="s">
        <v>279</v>
      </c>
      <c r="G120" s="5" t="str">
        <f t="shared" si="22"/>
        <v>1,374,196,752 (100.00%)</v>
      </c>
      <c r="H120" s="5" t="str">
        <f t="shared" si="23"/>
        <v>1,697,984 (100.00%)</v>
      </c>
      <c r="I120" s="5" t="s">
        <v>288</v>
      </c>
    </row>
    <row r="121" spans="1:9" x14ac:dyDescent="0.6">
      <c r="A121">
        <v>0</v>
      </c>
      <c r="B121" t="s">
        <v>291</v>
      </c>
      <c r="C121" s="5" t="s">
        <v>311</v>
      </c>
      <c r="D121" s="5">
        <v>1</v>
      </c>
      <c r="E121" s="5" t="s">
        <v>289</v>
      </c>
      <c r="F121" s="5" t="s">
        <v>53</v>
      </c>
      <c r="G121" s="5" t="str">
        <f t="shared" si="22"/>
        <v>12,900 (0.00%)</v>
      </c>
      <c r="H121" s="5" t="str">
        <f t="shared" si="23"/>
        <v>0 (0.00%)</v>
      </c>
      <c r="I121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BC38-18B6-4B95-AB93-6AD592D991D9}">
  <dimension ref="A1:I121"/>
  <sheetViews>
    <sheetView tabSelected="1" topLeftCell="A75" workbookViewId="0">
      <selection activeCell="D91" sqref="D91"/>
    </sheetView>
  </sheetViews>
  <sheetFormatPr defaultRowHeight="16.899999999999999" x14ac:dyDescent="0.6"/>
  <cols>
    <col min="2" max="2" width="22.3125" bestFit="1" customWidth="1"/>
    <col min="3" max="3" width="30.5625" bestFit="1" customWidth="1"/>
    <col min="4" max="4" width="18.5" bestFit="1" customWidth="1"/>
    <col min="5" max="5" width="18.3125" hidden="1" customWidth="1"/>
    <col min="6" max="6" width="17.0625" hidden="1" customWidth="1"/>
    <col min="7" max="7" width="22" bestFit="1" customWidth="1"/>
    <col min="8" max="8" width="18.3125" bestFit="1" customWidth="1"/>
    <col min="9" max="9" width="30.0625" bestFit="1" customWidth="1"/>
  </cols>
  <sheetData>
    <row r="1" spans="1:9" x14ac:dyDescent="0.6">
      <c r="A1" t="s">
        <v>359</v>
      </c>
      <c r="B1" s="1" t="s">
        <v>296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23</v>
      </c>
      <c r="H1" s="4" t="s">
        <v>24</v>
      </c>
      <c r="I1" s="4" t="s">
        <v>25</v>
      </c>
    </row>
    <row r="2" spans="1:9" x14ac:dyDescent="0.6">
      <c r="A2">
        <v>0</v>
      </c>
      <c r="B2" s="1" t="s">
        <v>291</v>
      </c>
      <c r="C2" s="4" t="s">
        <v>297</v>
      </c>
      <c r="D2" s="4" t="s">
        <v>26</v>
      </c>
      <c r="E2" s="4" t="s">
        <v>27</v>
      </c>
      <c r="F2" s="4" t="s">
        <v>28</v>
      </c>
      <c r="G2" s="4" t="s">
        <v>27</v>
      </c>
      <c r="H2" s="4" t="s">
        <v>28</v>
      </c>
      <c r="I2" s="4" t="s">
        <v>29</v>
      </c>
    </row>
    <row r="3" spans="1:9" x14ac:dyDescent="0.6">
      <c r="A3">
        <v>0</v>
      </c>
      <c r="B3" s="1" t="s">
        <v>291</v>
      </c>
      <c r="C3" s="4" t="s">
        <v>342</v>
      </c>
      <c r="D3" s="3">
        <v>0</v>
      </c>
      <c r="E3" s="4" t="s">
        <v>30</v>
      </c>
      <c r="F3" s="4" t="s">
        <v>290</v>
      </c>
      <c r="G3" s="4" t="str">
        <f>TEXT(SUBSTITUTE(LEFT(E3, FIND("(", E3) - 1), ",", "") * 172, "#,##0") &amp; " " &amp; MID(E3, FIND("(", E3), LEN(E3))</f>
        <v>53,118,072 (3.87%)</v>
      </c>
      <c r="H3" s="4" t="str">
        <f>TEXT(SUBSTITUTE(LEFT(F3, FIND("(", F3) - 1), ",", "") * 172, "#,##0") &amp; " " &amp; MID(F3, FIND("(", F3), LEN(F3))</f>
        <v>292,400 (17.22%)</v>
      </c>
      <c r="I3" s="4" t="s">
        <v>31</v>
      </c>
    </row>
    <row r="4" spans="1:9" x14ac:dyDescent="0.6">
      <c r="A4">
        <v>0</v>
      </c>
      <c r="B4" s="1" t="s">
        <v>291</v>
      </c>
      <c r="C4" s="4" t="s">
        <v>342</v>
      </c>
      <c r="D4" s="3">
        <v>1</v>
      </c>
      <c r="E4" s="4" t="s">
        <v>32</v>
      </c>
      <c r="F4" s="4" t="s">
        <v>33</v>
      </c>
      <c r="G4" s="4" t="str">
        <f>TEXT(SUBSTITUTE(LEFT(E4, FIND("(", E4) - 1), ",", "") * 172, "#,##0") &amp; " " &amp; MID(E4, FIND("(", E4), LEN(E4))</f>
        <v>1,321,091,580 (96.13%)</v>
      </c>
      <c r="H4" s="4" t="str">
        <f>TEXT(SUBSTITUTE(LEFT(F4, FIND("(", F4) - 1), ",", "") * 172, "#,##0") &amp; " " &amp; MID(F4, FIND("(", F4), LEN(F4))</f>
        <v>1,405,584 (82.78%)</v>
      </c>
      <c r="I4" s="4"/>
    </row>
    <row r="5" spans="1:9" x14ac:dyDescent="0.6">
      <c r="A5">
        <v>0</v>
      </c>
      <c r="B5" s="1" t="s">
        <v>291</v>
      </c>
      <c r="C5" s="4" t="s">
        <v>319</v>
      </c>
      <c r="D5" s="3">
        <v>0</v>
      </c>
      <c r="E5" s="4" t="s">
        <v>34</v>
      </c>
      <c r="F5" s="4" t="s">
        <v>35</v>
      </c>
      <c r="G5" s="4" t="str">
        <f>TEXT(SUBSTITUTE(LEFT(E5, FIND("(", E5) - 1), ",", "") * 172, "#,##0") &amp; " " &amp; MID(E5, FIND("(", E5), LEN(E5))</f>
        <v>880,319,908 (64.06%)</v>
      </c>
      <c r="H5" s="4" t="str">
        <f>TEXT(SUBSTITUTE(LEFT(F5, FIND("(", F5) - 1), ",", "") * 172, "#,##0") &amp; " " &amp; MID(F5, FIND("(", F5), LEN(F5))</f>
        <v>1,642,600 (96.74%)</v>
      </c>
      <c r="I5" s="4" t="s">
        <v>36</v>
      </c>
    </row>
    <row r="6" spans="1:9" x14ac:dyDescent="0.6">
      <c r="A6">
        <v>0</v>
      </c>
      <c r="B6" s="1" t="s">
        <v>291</v>
      </c>
      <c r="C6" s="4" t="s">
        <v>319</v>
      </c>
      <c r="D6" s="3">
        <v>1</v>
      </c>
      <c r="E6" s="4" t="s">
        <v>37</v>
      </c>
      <c r="F6" s="4" t="s">
        <v>38</v>
      </c>
      <c r="G6" s="4" t="str">
        <f>TEXT(SUBSTITUTE(LEFT(E6, FIND("(", E6) - 1), ",", "") * 172, "#,##0") &amp; " " &amp; MID(E6, FIND("(", E6), LEN(E6))</f>
        <v>493,889,744 (35.94%)</v>
      </c>
      <c r="H6" s="4" t="str">
        <f>TEXT(SUBSTITUTE(LEFT(F6, FIND("(", F6) - 1), ",", "") * 172, "#,##0") &amp; " " &amp; MID(F6, FIND("(", F6), LEN(F6))</f>
        <v>55,384 (3.26%)</v>
      </c>
      <c r="I6" s="4"/>
    </row>
    <row r="7" spans="1:9" x14ac:dyDescent="0.6">
      <c r="A7">
        <v>0</v>
      </c>
      <c r="B7" s="1" t="s">
        <v>291</v>
      </c>
      <c r="C7" s="4" t="s">
        <v>318</v>
      </c>
      <c r="D7" s="3">
        <v>0</v>
      </c>
      <c r="E7" s="4" t="s">
        <v>39</v>
      </c>
      <c r="F7" s="4" t="s">
        <v>38</v>
      </c>
      <c r="G7" s="4" t="str">
        <f>TEXT(SUBSTITUTE(LEFT(E7, FIND("(", E7) - 1), ",", "") * 172, "#,##0") &amp; " " &amp; MID(E7, FIND("(", E7), LEN(E7))</f>
        <v>494,353,628 (35.97%)</v>
      </c>
      <c r="H7" s="4" t="str">
        <f>TEXT(SUBSTITUTE(LEFT(F7, FIND("(", F7) - 1), ",", "") * 172, "#,##0") &amp; " " &amp; MID(F7, FIND("(", F7), LEN(F7))</f>
        <v>55,384 (3.26%)</v>
      </c>
      <c r="I7" s="4" t="s">
        <v>40</v>
      </c>
    </row>
    <row r="8" spans="1:9" x14ac:dyDescent="0.6">
      <c r="A8">
        <v>0</v>
      </c>
      <c r="B8" s="1" t="s">
        <v>291</v>
      </c>
      <c r="C8" s="4" t="s">
        <v>318</v>
      </c>
      <c r="D8" s="3">
        <v>1</v>
      </c>
      <c r="E8" s="4" t="s">
        <v>41</v>
      </c>
      <c r="F8" s="4" t="s">
        <v>35</v>
      </c>
      <c r="G8" s="4" t="str">
        <f>TEXT(SUBSTITUTE(LEFT(E8, FIND("(", E8) - 1), ",", "") * 172, "#,##0") &amp; " " &amp; MID(E8, FIND("(", E8), LEN(E8))</f>
        <v>879,856,024 (64.03%)</v>
      </c>
      <c r="H8" s="4" t="str">
        <f>TEXT(SUBSTITUTE(LEFT(F8, FIND("(", F8) - 1), ",", "") * 172, "#,##0") &amp; " " &amp; MID(F8, FIND("(", F8), LEN(F8))</f>
        <v>1,642,600 (96.74%)</v>
      </c>
      <c r="I8" s="4"/>
    </row>
    <row r="9" spans="1:9" x14ac:dyDescent="0.6">
      <c r="A9">
        <v>0</v>
      </c>
      <c r="B9" s="1" t="s">
        <v>291</v>
      </c>
      <c r="C9" s="4" t="s">
        <v>317</v>
      </c>
      <c r="D9" s="3">
        <v>0</v>
      </c>
      <c r="E9" s="4" t="s">
        <v>42</v>
      </c>
      <c r="F9" s="4" t="s">
        <v>43</v>
      </c>
      <c r="G9" s="4" t="str">
        <f>TEXT(SUBSTITUTE(LEFT(E9, FIND("(", E9) - 1), ",", "") * 172, "#,##0") &amp; " " &amp; MID(E9, FIND("(", E9), LEN(E9))</f>
        <v>120,971,900 (8.80%)</v>
      </c>
      <c r="H9" s="4" t="str">
        <f>TEXT(SUBSTITUTE(LEFT(F9, FIND("(", F9) - 1), ",", "") * 172, "#,##0") &amp; " " &amp; MID(F9, FIND("(", F9), LEN(F9))</f>
        <v>1,405,412 (82.77%)</v>
      </c>
      <c r="I9" s="4" t="s">
        <v>44</v>
      </c>
    </row>
    <row r="10" spans="1:9" x14ac:dyDescent="0.6">
      <c r="A10">
        <v>0</v>
      </c>
      <c r="B10" s="1" t="s">
        <v>291</v>
      </c>
      <c r="C10" s="4" t="s">
        <v>317</v>
      </c>
      <c r="D10" s="3">
        <v>1</v>
      </c>
      <c r="E10" s="4" t="s">
        <v>45</v>
      </c>
      <c r="F10" s="4" t="s">
        <v>46</v>
      </c>
      <c r="G10" s="4" t="str">
        <f>TEXT(SUBSTITUTE(LEFT(E10, FIND("(", E10) - 1), ",", "") * 172, "#,##0") &amp; " " &amp; MID(E10, FIND("(", E10), LEN(E10))</f>
        <v>1,253,237,752 (91.20%)</v>
      </c>
      <c r="H10" s="4" t="str">
        <f>TEXT(SUBSTITUTE(LEFT(F10, FIND("(", F10) - 1), ",", "") * 172, "#,##0") &amp; " " &amp; MID(F10, FIND("(", F10), LEN(F10))</f>
        <v>292,572 (17.23%)</v>
      </c>
      <c r="I10" s="4"/>
    </row>
    <row r="11" spans="1:9" x14ac:dyDescent="0.6">
      <c r="A11">
        <v>0</v>
      </c>
      <c r="B11" s="1" t="s">
        <v>291</v>
      </c>
      <c r="C11" s="4" t="s">
        <v>316</v>
      </c>
      <c r="D11" s="3">
        <v>0</v>
      </c>
      <c r="E11" s="4" t="s">
        <v>47</v>
      </c>
      <c r="F11" s="4" t="s">
        <v>48</v>
      </c>
      <c r="G11" s="4" t="str">
        <f>TEXT(SUBSTITUTE(LEFT(E11, FIND("(", E11) - 1), ",", "") * 172, "#,##0") &amp; " " &amp; MID(E11, FIND("(", E11), LEN(E11))</f>
        <v>1,256,409,776 (91.43%)</v>
      </c>
      <c r="H11" s="4" t="str">
        <f>TEXT(SUBSTITUTE(LEFT(F11, FIND("(", F11) - 1), ",", "") * 172, "#,##0") &amp; " " &amp; MID(F11, FIND("(", F11), LEN(F11))</f>
        <v>298,248 (17.56%)</v>
      </c>
      <c r="I11" s="4" t="s">
        <v>49</v>
      </c>
    </row>
    <row r="12" spans="1:9" x14ac:dyDescent="0.6">
      <c r="A12">
        <v>0</v>
      </c>
      <c r="B12" s="1" t="s">
        <v>291</v>
      </c>
      <c r="C12" s="4" t="s">
        <v>316</v>
      </c>
      <c r="D12" s="3">
        <v>1</v>
      </c>
      <c r="E12" s="4" t="s">
        <v>50</v>
      </c>
      <c r="F12" s="4" t="s">
        <v>51</v>
      </c>
      <c r="G12" s="4" t="str">
        <f>TEXT(SUBSTITUTE(LEFT(E12, FIND("(", E12) - 1), ",", "") * 172, "#,##0") &amp; " " &amp; MID(E12, FIND("(", E12), LEN(E12))</f>
        <v>117,799,876 (8.57%)</v>
      </c>
      <c r="H12" s="4" t="str">
        <f>TEXT(SUBSTITUTE(LEFT(F12, FIND("(", F12) - 1), ",", "") * 172, "#,##0") &amp; " " &amp; MID(F12, FIND("(", F12), LEN(F12))</f>
        <v>1,399,736 (82.44%)</v>
      </c>
      <c r="I12" s="4"/>
    </row>
    <row r="13" spans="1:9" x14ac:dyDescent="0.6">
      <c r="A13">
        <v>0</v>
      </c>
      <c r="B13" s="1" t="s">
        <v>291</v>
      </c>
      <c r="C13" s="4" t="s">
        <v>345</v>
      </c>
      <c r="D13" s="3">
        <v>0</v>
      </c>
      <c r="E13" s="4" t="s">
        <v>61</v>
      </c>
      <c r="F13" s="4" t="s">
        <v>62</v>
      </c>
      <c r="G13" s="4" t="str">
        <f>TEXT(SUBSTITUTE(LEFT(E13, FIND("(", E13) - 1), ",", "") * 172, "#,##0") &amp; " " &amp; MID(E13, FIND("(", E13), LEN(E13))</f>
        <v>1,364,012,116 (99.26%)</v>
      </c>
      <c r="H13" s="4" t="str">
        <f>TEXT(SUBSTITUTE(LEFT(F13, FIND("(", F13) - 1), ",", "") * 172, "#,##0") &amp; " " &amp; MID(F13, FIND("(", F13), LEN(F13))</f>
        <v>1,557,976 (91.75%)</v>
      </c>
      <c r="I13" s="4" t="s">
        <v>63</v>
      </c>
    </row>
    <row r="14" spans="1:9" x14ac:dyDescent="0.6">
      <c r="A14">
        <v>0</v>
      </c>
      <c r="B14" s="1" t="s">
        <v>291</v>
      </c>
      <c r="C14" s="4" t="s">
        <v>345</v>
      </c>
      <c r="D14" s="3">
        <v>1</v>
      </c>
      <c r="E14" s="4" t="s">
        <v>64</v>
      </c>
      <c r="F14" s="4" t="s">
        <v>65</v>
      </c>
      <c r="G14" s="4" t="str">
        <f>TEXT(SUBSTITUTE(LEFT(E14, FIND("(", E14) - 1), ",", "") * 172, "#,##0") &amp; " " &amp; MID(E14, FIND("(", E14), LEN(E14))</f>
        <v>10,197,536 (0.74%)</v>
      </c>
      <c r="H14" s="4" t="str">
        <f>TEXT(SUBSTITUTE(LEFT(F14, FIND("(", F14) - 1), ",", "") * 172, "#,##0") &amp; " " &amp; MID(F14, FIND("(", F14), LEN(F14))</f>
        <v>140,008 (8.25%)</v>
      </c>
      <c r="I14" s="4"/>
    </row>
    <row r="15" spans="1:9" x14ac:dyDescent="0.6">
      <c r="A15">
        <v>0</v>
      </c>
      <c r="B15" s="1" t="s">
        <v>291</v>
      </c>
      <c r="C15" s="4" t="s">
        <v>347</v>
      </c>
      <c r="D15" s="3">
        <v>0</v>
      </c>
      <c r="E15" s="4" t="s">
        <v>66</v>
      </c>
      <c r="F15" s="4" t="s">
        <v>67</v>
      </c>
      <c r="G15" s="4" t="str">
        <f>TEXT(SUBSTITUTE(LEFT(E15, FIND("(", E15) - 1), ",", "") * 172, "#,##0") &amp; " " &amp; MID(E15, FIND("(", E15), LEN(E15))</f>
        <v>1,364,585,220 (99.30%)</v>
      </c>
      <c r="H15" s="4" t="str">
        <f>TEXT(SUBSTITUTE(LEFT(F15, FIND("(", F15) - 1), ",", "") * 172, "#,##0") &amp; " " &amp; MID(F15, FIND("(", F15), LEN(F15))</f>
        <v>1,417,624 (83.49%)</v>
      </c>
      <c r="I15" s="4" t="s">
        <v>68</v>
      </c>
    </row>
    <row r="16" spans="1:9" x14ac:dyDescent="0.6">
      <c r="A16">
        <v>0</v>
      </c>
      <c r="B16" s="1" t="s">
        <v>291</v>
      </c>
      <c r="C16" s="4" t="s">
        <v>347</v>
      </c>
      <c r="D16" s="3">
        <v>1</v>
      </c>
      <c r="E16" s="4" t="s">
        <v>69</v>
      </c>
      <c r="F16" s="4" t="s">
        <v>70</v>
      </c>
      <c r="G16" s="4" t="str">
        <f>TEXT(SUBSTITUTE(LEFT(E16, FIND("(", E16) - 1), ",", "") * 172, "#,##0") &amp; " " &amp; MID(E16, FIND("(", E16), LEN(E16))</f>
        <v>9,624,432 (0.70%)</v>
      </c>
      <c r="H16" s="4" t="str">
        <f>TEXT(SUBSTITUTE(LEFT(F16, FIND("(", F16) - 1), ",", "") * 172, "#,##0") &amp; " " &amp; MID(F16, FIND("(", F16), LEN(F16))</f>
        <v>280,360 (16.51%)</v>
      </c>
      <c r="I16" s="4"/>
    </row>
    <row r="17" spans="1:9" x14ac:dyDescent="0.6">
      <c r="A17">
        <v>0</v>
      </c>
      <c r="B17" s="1" t="s">
        <v>291</v>
      </c>
      <c r="C17" s="4" t="s">
        <v>348</v>
      </c>
      <c r="D17" s="3">
        <v>0</v>
      </c>
      <c r="E17" s="4" t="s">
        <v>71</v>
      </c>
      <c r="F17" s="4" t="s">
        <v>72</v>
      </c>
      <c r="G17" s="4" t="str">
        <f>TEXT(SUBSTITUTE(LEFT(E17, FIND("(", E17) - 1), ",", "") * 172, "#,##0") &amp; " " &amp; MID(E17, FIND("(", E17), LEN(E17))</f>
        <v>1,246,391,464 (90.70%)</v>
      </c>
      <c r="H17" s="4" t="str">
        <f>TEXT(SUBSTITUTE(LEFT(F17, FIND("(", F17) - 1), ",", "") * 172, "#,##0") &amp; " " &amp; MID(F17, FIND("(", F17), LEN(F17))</f>
        <v>1,252,676 (73.77%)</v>
      </c>
      <c r="I17" s="4" t="s">
        <v>73</v>
      </c>
    </row>
    <row r="18" spans="1:9" x14ac:dyDescent="0.6">
      <c r="A18">
        <v>0</v>
      </c>
      <c r="B18" s="1" t="s">
        <v>291</v>
      </c>
      <c r="C18" s="4" t="s">
        <v>348</v>
      </c>
      <c r="D18" s="3">
        <v>1</v>
      </c>
      <c r="E18" s="4" t="s">
        <v>74</v>
      </c>
      <c r="F18" s="4" t="s">
        <v>75</v>
      </c>
      <c r="G18" s="4" t="str">
        <f>TEXT(SUBSTITUTE(LEFT(E18, FIND("(", E18) - 1), ",", "") * 172, "#,##0") &amp; " " &amp; MID(E18, FIND("(", E18), LEN(E18))</f>
        <v>127,818,188 (9.30%)</v>
      </c>
      <c r="H18" s="4" t="str">
        <f>TEXT(SUBSTITUTE(LEFT(F18, FIND("(", F18) - 1), ",", "") * 172, "#,##0") &amp; " " &amp; MID(F18, FIND("(", F18), LEN(F18))</f>
        <v>445,308 (26.23%)</v>
      </c>
      <c r="I18" s="4"/>
    </row>
    <row r="19" spans="1:9" x14ac:dyDescent="0.6">
      <c r="A19">
        <v>0</v>
      </c>
      <c r="B19" s="1" t="s">
        <v>291</v>
      </c>
      <c r="C19" s="4" t="s">
        <v>309</v>
      </c>
      <c r="D19" s="3">
        <v>0</v>
      </c>
      <c r="E19" s="4" t="s">
        <v>84</v>
      </c>
      <c r="F19" s="4" t="s">
        <v>35</v>
      </c>
      <c r="G19" s="4" t="str">
        <f>TEXT(SUBSTITUTE(LEFT(E19, FIND("(", E19) - 1), ",", "") * 172, "#,##0") &amp; " " &amp; MID(E19, FIND("(", E19), LEN(E19))</f>
        <v>889,842,516 (64.75%)</v>
      </c>
      <c r="H19" s="4" t="str">
        <f>TEXT(SUBSTITUTE(LEFT(F19, FIND("(", F19) - 1), ",", "") * 172, "#,##0") &amp; " " &amp; MID(F19, FIND("(", F19), LEN(F19))</f>
        <v>1,642,600 (96.74%)</v>
      </c>
      <c r="I19" s="4" t="s">
        <v>85</v>
      </c>
    </row>
    <row r="20" spans="1:9" x14ac:dyDescent="0.6">
      <c r="A20">
        <v>0</v>
      </c>
      <c r="B20" s="1" t="s">
        <v>291</v>
      </c>
      <c r="C20" s="4" t="s">
        <v>309</v>
      </c>
      <c r="D20" s="3">
        <v>1</v>
      </c>
      <c r="E20" s="4" t="s">
        <v>86</v>
      </c>
      <c r="F20" s="4" t="s">
        <v>38</v>
      </c>
      <c r="G20" s="4" t="str">
        <f>TEXT(SUBSTITUTE(LEFT(E20, FIND("(", E20) - 1), ",", "") * 172, "#,##0") &amp; " " &amp; MID(E20, FIND("(", E20), LEN(E20))</f>
        <v>484,367,136 (35.25%)</v>
      </c>
      <c r="H20" s="4" t="str">
        <f>TEXT(SUBSTITUTE(LEFT(F20, FIND("(", F20) - 1), ",", "") * 172, "#,##0") &amp; " " &amp; MID(F20, FIND("(", F20), LEN(F20))</f>
        <v>55,384 (3.26%)</v>
      </c>
      <c r="I20" s="4"/>
    </row>
    <row r="21" spans="1:9" x14ac:dyDescent="0.6">
      <c r="A21">
        <v>0</v>
      </c>
      <c r="B21" s="1" t="s">
        <v>291</v>
      </c>
      <c r="C21" s="4" t="s">
        <v>308</v>
      </c>
      <c r="D21" s="3">
        <v>0</v>
      </c>
      <c r="E21" s="4" t="s">
        <v>87</v>
      </c>
      <c r="F21" s="4" t="s">
        <v>88</v>
      </c>
      <c r="G21" s="4" t="str">
        <f>TEXT(SUBSTITUTE(LEFT(E21, FIND("(", E21) - 1), ",", "") * 172, "#,##0") &amp; " " &amp; MID(E21, FIND("(", E21), LEN(E21))</f>
        <v>553,559,124 (40.28%)</v>
      </c>
      <c r="H21" s="4" t="str">
        <f>TEXT(SUBSTITUTE(LEFT(F21, FIND("(", F21) - 1), ",", "") * 172, "#,##0") &amp; " " &amp; MID(F21, FIND("(", F21), LEN(F21))</f>
        <v>73,788 (4.35%)</v>
      </c>
      <c r="I21" s="4" t="s">
        <v>89</v>
      </c>
    </row>
    <row r="22" spans="1:9" x14ac:dyDescent="0.6">
      <c r="A22">
        <v>0</v>
      </c>
      <c r="B22" s="1" t="s">
        <v>291</v>
      </c>
      <c r="C22" s="4" t="s">
        <v>308</v>
      </c>
      <c r="D22" s="3">
        <v>1</v>
      </c>
      <c r="E22" s="4" t="s">
        <v>90</v>
      </c>
      <c r="F22" s="4" t="s">
        <v>91</v>
      </c>
      <c r="G22" s="4" t="str">
        <f>TEXT(SUBSTITUTE(LEFT(E22, FIND("(", E22) - 1), ",", "") * 172, "#,##0") &amp; " " &amp; MID(E22, FIND("(", E22), LEN(E22))</f>
        <v>820,650,528 (59.72%)</v>
      </c>
      <c r="H22" s="4" t="str">
        <f>TEXT(SUBSTITUTE(LEFT(F22, FIND("(", F22) - 1), ",", "") * 172, "#,##0") &amp; " " &amp; MID(F22, FIND("(", F22), LEN(F22))</f>
        <v>1,624,196 (95.65%)</v>
      </c>
      <c r="I22" s="4"/>
    </row>
    <row r="23" spans="1:9" x14ac:dyDescent="0.6">
      <c r="A23">
        <v>0</v>
      </c>
      <c r="B23" s="1" t="s">
        <v>291</v>
      </c>
      <c r="C23" s="4" t="s">
        <v>306</v>
      </c>
      <c r="D23" s="3">
        <v>0</v>
      </c>
      <c r="E23" s="4" t="s">
        <v>107</v>
      </c>
      <c r="F23" s="4" t="s">
        <v>108</v>
      </c>
      <c r="G23" s="4" t="str">
        <f>TEXT(SUBSTITUTE(LEFT(E23, FIND("(", E23) - 1), ",", "") * 172, "#,##0") &amp; " " &amp; MID(E23, FIND("(", E23), LEN(E23))</f>
        <v>1,347,222,680 (98.04%)</v>
      </c>
      <c r="H23" s="4" t="str">
        <f>TEXT(SUBSTITUTE(LEFT(F23, FIND("(", F23) - 1), ",", "") * 172, "#,##0") &amp; " " &amp; MID(F23, FIND("(", F23), LEN(F23))</f>
        <v>316,652 (18.65%)</v>
      </c>
      <c r="I23" s="4" t="s">
        <v>109</v>
      </c>
    </row>
    <row r="24" spans="1:9" x14ac:dyDescent="0.6">
      <c r="A24">
        <v>0</v>
      </c>
      <c r="B24" s="1" t="s">
        <v>291</v>
      </c>
      <c r="C24" s="4" t="s">
        <v>306</v>
      </c>
      <c r="D24" s="3">
        <v>1</v>
      </c>
      <c r="E24" s="4" t="s">
        <v>110</v>
      </c>
      <c r="F24" s="4" t="s">
        <v>111</v>
      </c>
      <c r="G24" s="4" t="str">
        <f>TEXT(SUBSTITUTE(LEFT(E24, FIND("(", E24) - 1), ",", "") * 172, "#,##0") &amp; " " &amp; MID(E24, FIND("(", E24), LEN(E24))</f>
        <v>26,986,972 (1.96%)</v>
      </c>
      <c r="H24" s="4" t="str">
        <f>TEXT(SUBSTITUTE(LEFT(F24, FIND("(", F24) - 1), ",", "") * 172, "#,##0") &amp; " " &amp; MID(F24, FIND("(", F24), LEN(F24))</f>
        <v>1,381,332 (81.35%)</v>
      </c>
      <c r="I24" s="4"/>
    </row>
    <row r="25" spans="1:9" x14ac:dyDescent="0.6">
      <c r="A25">
        <v>0</v>
      </c>
      <c r="B25" s="1" t="s">
        <v>291</v>
      </c>
      <c r="C25" s="4" t="s">
        <v>305</v>
      </c>
      <c r="D25" s="3">
        <v>0</v>
      </c>
      <c r="E25" s="4" t="s">
        <v>112</v>
      </c>
      <c r="F25" s="4" t="s">
        <v>51</v>
      </c>
      <c r="G25" s="4" t="str">
        <f>TEXT(SUBSTITUTE(LEFT(E25, FIND("(", E25) - 1), ",", "") * 172, "#,##0") &amp; " " &amp; MID(E25, FIND("(", E25), LEN(E25))</f>
        <v>96,166,060 (7.00%)</v>
      </c>
      <c r="H25" s="4" t="str">
        <f>TEXT(SUBSTITUTE(LEFT(F25, FIND("(", F25) - 1), ",", "") * 172, "#,##0") &amp; " " &amp; MID(F25, FIND("(", F25), LEN(F25))</f>
        <v>1,399,736 (82.44%)</v>
      </c>
      <c r="I25" s="4" t="s">
        <v>113</v>
      </c>
    </row>
    <row r="26" spans="1:9" x14ac:dyDescent="0.6">
      <c r="A26">
        <v>0</v>
      </c>
      <c r="B26" s="1" t="s">
        <v>291</v>
      </c>
      <c r="C26" s="4" t="s">
        <v>305</v>
      </c>
      <c r="D26" s="3">
        <v>1</v>
      </c>
      <c r="E26" s="4" t="s">
        <v>114</v>
      </c>
      <c r="F26" s="4" t="s">
        <v>48</v>
      </c>
      <c r="G26" s="4" t="str">
        <f>TEXT(SUBSTITUTE(LEFT(E26, FIND("(", E26) - 1), ",", "") * 172, "#,##0") &amp; " " &amp; MID(E26, FIND("(", E26), LEN(E26))</f>
        <v>1,278,043,592 (93.00%)</v>
      </c>
      <c r="H26" s="4" t="str">
        <f>TEXT(SUBSTITUTE(LEFT(F26, FIND("(", F26) - 1), ",", "") * 172, "#,##0") &amp; " " &amp; MID(F26, FIND("(", F26), LEN(F26))</f>
        <v>298,248 (17.56%)</v>
      </c>
      <c r="I26" s="4"/>
    </row>
    <row r="27" spans="1:9" x14ac:dyDescent="0.6">
      <c r="A27">
        <v>0</v>
      </c>
      <c r="B27" s="1" t="s">
        <v>291</v>
      </c>
      <c r="C27" s="4" t="s">
        <v>300</v>
      </c>
      <c r="D27" s="4" t="s">
        <v>26</v>
      </c>
      <c r="E27" s="4" t="s">
        <v>115</v>
      </c>
      <c r="F27" s="4" t="s">
        <v>116</v>
      </c>
      <c r="G27" s="4" t="s">
        <v>115</v>
      </c>
      <c r="H27" s="4" t="s">
        <v>116</v>
      </c>
      <c r="I27" s="4" t="s">
        <v>117</v>
      </c>
    </row>
    <row r="28" spans="1:9" x14ac:dyDescent="0.6">
      <c r="A28">
        <v>0</v>
      </c>
      <c r="B28" s="1" t="s">
        <v>291</v>
      </c>
      <c r="C28" s="4" t="s">
        <v>340</v>
      </c>
      <c r="D28" s="3">
        <v>0</v>
      </c>
      <c r="E28" s="4" t="s">
        <v>130</v>
      </c>
      <c r="F28" s="4" t="s">
        <v>108</v>
      </c>
      <c r="G28" s="4" t="str">
        <f>TEXT(SUBSTITUTE(LEFT(E28, FIND("(", E28) - 1), ",", "") * 172, "#,##0") &amp; " " &amp; MID(E28, FIND("(", E28), LEN(E28))</f>
        <v>1,346,481,016 (97.98%)</v>
      </c>
      <c r="H28" s="4" t="str">
        <f>TEXT(SUBSTITUTE(LEFT(F28, FIND("(", F28) - 1), ",", "") * 172, "#,##0") &amp; " " &amp; MID(F28, FIND("(", F28), LEN(F28))</f>
        <v>316,652 (18.65%)</v>
      </c>
      <c r="I28" s="4" t="s">
        <v>131</v>
      </c>
    </row>
    <row r="29" spans="1:9" x14ac:dyDescent="0.6">
      <c r="A29">
        <v>0</v>
      </c>
      <c r="B29" s="1" t="s">
        <v>291</v>
      </c>
      <c r="C29" s="4" t="s">
        <v>340</v>
      </c>
      <c r="D29" s="3">
        <v>1</v>
      </c>
      <c r="E29" s="4" t="s">
        <v>132</v>
      </c>
      <c r="F29" s="4" t="s">
        <v>111</v>
      </c>
      <c r="G29" s="4" t="str">
        <f>TEXT(SUBSTITUTE(LEFT(E29, FIND("(", E29) - 1), ",", "") * 172, "#,##0") &amp; " " &amp; MID(E29, FIND("(", E29), LEN(E29))</f>
        <v>27,728,636 (2.02%)</v>
      </c>
      <c r="H29" s="4" t="str">
        <f>TEXT(SUBSTITUTE(LEFT(F29, FIND("(", F29) - 1), ",", "") * 172, "#,##0") &amp; " " &amp; MID(F29, FIND("(", F29), LEN(F29))</f>
        <v>1,381,332 (81.35%)</v>
      </c>
      <c r="I29" s="4"/>
    </row>
    <row r="30" spans="1:9" x14ac:dyDescent="0.6">
      <c r="A30">
        <v>0</v>
      </c>
      <c r="B30" s="1" t="s">
        <v>291</v>
      </c>
      <c r="C30" s="4" t="s">
        <v>339</v>
      </c>
      <c r="D30" s="3">
        <v>0</v>
      </c>
      <c r="E30" s="4" t="s">
        <v>133</v>
      </c>
      <c r="F30" s="4" t="s">
        <v>51</v>
      </c>
      <c r="G30" s="4" t="str">
        <f>TEXT(SUBSTITUTE(LEFT(E30, FIND("(", E30) - 1), ",", "") * 172, "#,##0") &amp; " " &amp; MID(E30, FIND("(", E30), LEN(E30))</f>
        <v>96,907,724 (7.05%)</v>
      </c>
      <c r="H30" s="4" t="str">
        <f>TEXT(SUBSTITUTE(LEFT(F30, FIND("(", F30) - 1), ",", "") * 172, "#,##0") &amp; " " &amp; MID(F30, FIND("(", F30), LEN(F30))</f>
        <v>1,399,736 (82.44%)</v>
      </c>
      <c r="I30" s="4" t="s">
        <v>134</v>
      </c>
    </row>
    <row r="31" spans="1:9" x14ac:dyDescent="0.6">
      <c r="A31">
        <v>0</v>
      </c>
      <c r="B31" s="1" t="s">
        <v>291</v>
      </c>
      <c r="C31" s="4" t="s">
        <v>339</v>
      </c>
      <c r="D31" s="3">
        <v>1</v>
      </c>
      <c r="E31" s="4" t="s">
        <v>135</v>
      </c>
      <c r="F31" s="4" t="s">
        <v>48</v>
      </c>
      <c r="G31" s="4" t="str">
        <f>TEXT(SUBSTITUTE(LEFT(E31, FIND("(", E31) - 1), ",", "") * 172, "#,##0") &amp; " " &amp; MID(E31, FIND("(", E31), LEN(E31))</f>
        <v>1,277,301,928 (92.95%)</v>
      </c>
      <c r="H31" s="4" t="str">
        <f>TEXT(SUBSTITUTE(LEFT(F31, FIND("(", F31) - 1), ",", "") * 172, "#,##0") &amp; " " &amp; MID(F31, FIND("(", F31), LEN(F31))</f>
        <v>298,248 (17.56%)</v>
      </c>
      <c r="I31" s="4"/>
    </row>
    <row r="32" spans="1:9" x14ac:dyDescent="0.6">
      <c r="A32">
        <v>0</v>
      </c>
      <c r="B32" s="1" t="s">
        <v>291</v>
      </c>
      <c r="C32" s="4" t="s">
        <v>332</v>
      </c>
      <c r="D32" s="4" t="s">
        <v>26</v>
      </c>
      <c r="E32" s="4" t="s">
        <v>139</v>
      </c>
      <c r="F32" s="4" t="s">
        <v>140</v>
      </c>
      <c r="G32" s="4" t="s">
        <v>139</v>
      </c>
      <c r="H32" s="4" t="s">
        <v>140</v>
      </c>
      <c r="I32" s="4" t="s">
        <v>141</v>
      </c>
    </row>
    <row r="33" spans="1:9" x14ac:dyDescent="0.6">
      <c r="A33">
        <v>0</v>
      </c>
      <c r="B33" s="1" t="s">
        <v>291</v>
      </c>
      <c r="C33" s="4" t="s">
        <v>344</v>
      </c>
      <c r="D33" s="3">
        <v>0</v>
      </c>
      <c r="E33" s="4" t="s">
        <v>142</v>
      </c>
      <c r="F33" s="4" t="s">
        <v>143</v>
      </c>
      <c r="G33" s="4" t="str">
        <f>TEXT(SUBSTITUTE(LEFT(E33, FIND("(", E33) - 1), ",", "") * 172, "#,##0") &amp; " " &amp; MID(E33, FIND("(", E33), LEN(E33))</f>
        <v>1,373,425,676 (99.94%)</v>
      </c>
      <c r="H33" s="4" t="str">
        <f>TEXT(SUBSTITUTE(LEFT(F33, FIND("(", F33) - 1), ",", "") * 172, "#,##0") &amp; " " &amp; MID(F33, FIND("(", F33), LEN(F33))</f>
        <v>1,682,160 (99.07%)</v>
      </c>
      <c r="I33" s="4" t="s">
        <v>144</v>
      </c>
    </row>
    <row r="34" spans="1:9" x14ac:dyDescent="0.6">
      <c r="A34">
        <v>0</v>
      </c>
      <c r="B34" s="1" t="s">
        <v>291</v>
      </c>
      <c r="C34" s="4" t="s">
        <v>344</v>
      </c>
      <c r="D34" s="3">
        <v>1</v>
      </c>
      <c r="E34" s="4" t="s">
        <v>145</v>
      </c>
      <c r="F34" s="4" t="s">
        <v>146</v>
      </c>
      <c r="G34" s="4" t="str">
        <f>TEXT(SUBSTITUTE(LEFT(E34, FIND("(", E34) - 1), ",", "") * 172, "#,##0") &amp; " " &amp; MID(E34, FIND("(", E34), LEN(E34))</f>
        <v>783,976 (0.06%)</v>
      </c>
      <c r="H34" s="4" t="str">
        <f>TEXT(SUBSTITUTE(LEFT(F34, FIND("(", F34) - 1), ",", "") * 172, "#,##0") &amp; " " &amp; MID(F34, FIND("(", F34), LEN(F34))</f>
        <v>15,824 (0.93%)</v>
      </c>
      <c r="I34" s="4"/>
    </row>
    <row r="35" spans="1:9" x14ac:dyDescent="0.6">
      <c r="A35">
        <v>0</v>
      </c>
      <c r="B35" s="1" t="s">
        <v>291</v>
      </c>
      <c r="C35" s="4" t="s">
        <v>324</v>
      </c>
      <c r="D35" s="3">
        <v>0</v>
      </c>
      <c r="E35" s="4" t="s">
        <v>153</v>
      </c>
      <c r="F35" s="4" t="s">
        <v>154</v>
      </c>
      <c r="G35" s="4" t="str">
        <f>TEXT(SUBSTITUTE(LEFT(E35, FIND("(", E35) - 1), ",", "") * 172, "#,##0") &amp; " " &amp; MID(E35, FIND("(", E35), LEN(E35))</f>
        <v>933,516,240 (67.93%)</v>
      </c>
      <c r="H35" s="4" t="str">
        <f>TEXT(SUBSTITUTE(LEFT(F35, FIND("(", F35) - 1), ",", "") * 172, "#,##0") &amp; " " &amp; MID(F35, FIND("(", F35), LEN(F35))</f>
        <v>896,980 (52.83%)</v>
      </c>
      <c r="I35" s="4" t="s">
        <v>155</v>
      </c>
    </row>
    <row r="36" spans="1:9" x14ac:dyDescent="0.6">
      <c r="A36">
        <v>0</v>
      </c>
      <c r="B36" s="1" t="s">
        <v>291</v>
      </c>
      <c r="C36" s="4" t="s">
        <v>324</v>
      </c>
      <c r="D36" s="3">
        <v>1</v>
      </c>
      <c r="E36" s="4" t="s">
        <v>156</v>
      </c>
      <c r="F36" s="4" t="s">
        <v>157</v>
      </c>
      <c r="G36" s="4" t="str">
        <f>TEXT(SUBSTITUTE(LEFT(E36, FIND("(", E36) - 1), ",", "") * 172, "#,##0") &amp; " " &amp; MID(E36, FIND("(", E36), LEN(E36))</f>
        <v>440,693,412 (32.07%)</v>
      </c>
      <c r="H36" s="4" t="str">
        <f>TEXT(SUBSTITUTE(LEFT(F36, FIND("(", F36) - 1), ",", "") * 172, "#,##0") &amp; " " &amp; MID(F36, FIND("(", F36), LEN(F36))</f>
        <v>801,004 (47.17%)</v>
      </c>
      <c r="I36" s="4"/>
    </row>
    <row r="37" spans="1:9" x14ac:dyDescent="0.6">
      <c r="A37">
        <v>0</v>
      </c>
      <c r="B37" s="1" t="s">
        <v>291</v>
      </c>
      <c r="C37" s="4" t="s">
        <v>354</v>
      </c>
      <c r="D37" s="4" t="s">
        <v>26</v>
      </c>
      <c r="E37" s="4" t="s">
        <v>166</v>
      </c>
      <c r="F37" s="4" t="s">
        <v>167</v>
      </c>
      <c r="G37" s="4" t="s">
        <v>166</v>
      </c>
      <c r="H37" s="4" t="s">
        <v>167</v>
      </c>
      <c r="I37" s="4" t="s">
        <v>168</v>
      </c>
    </row>
    <row r="38" spans="1:9" x14ac:dyDescent="0.6">
      <c r="A38">
        <v>0</v>
      </c>
      <c r="B38" s="1" t="s">
        <v>291</v>
      </c>
      <c r="C38" s="4" t="s">
        <v>343</v>
      </c>
      <c r="D38" s="3">
        <v>0</v>
      </c>
      <c r="E38" s="4" t="s">
        <v>169</v>
      </c>
      <c r="F38" s="4" t="s">
        <v>170</v>
      </c>
      <c r="G38" s="4" t="str">
        <f>TEXT(SUBSTITUTE(LEFT(E38, FIND("(", E38) - 1), ",", "") * 172, "#,##0") &amp; " " &amp; MID(E38, FIND("(", E38), LEN(E38))</f>
        <v>1,332,408,664 (96.96%)</v>
      </c>
      <c r="H38" s="4" t="str">
        <f>TEXT(SUBSTITUTE(LEFT(F38, FIND("(", F38) - 1), ",", "") * 172, "#,##0") &amp; " " &amp; MID(F38, FIND("(", F38), LEN(F38))</f>
        <v>1,566,748 (92.27%)</v>
      </c>
      <c r="I38" s="4" t="s">
        <v>171</v>
      </c>
    </row>
    <row r="39" spans="1:9" x14ac:dyDescent="0.6">
      <c r="A39">
        <v>0</v>
      </c>
      <c r="B39" s="1" t="s">
        <v>291</v>
      </c>
      <c r="C39" s="4" t="s">
        <v>343</v>
      </c>
      <c r="D39" s="3">
        <v>1</v>
      </c>
      <c r="E39" s="4" t="s">
        <v>172</v>
      </c>
      <c r="F39" s="4" t="s">
        <v>173</v>
      </c>
      <c r="G39" s="4" t="str">
        <f>TEXT(SUBSTITUTE(LEFT(E39, FIND("(", E39) - 1), ",", "") * 172, "#,##0") &amp; " " &amp; MID(E39, FIND("(", E39), LEN(E39))</f>
        <v>41,800,988 (3.04%)</v>
      </c>
      <c r="H39" s="4" t="str">
        <f>TEXT(SUBSTITUTE(LEFT(F39, FIND("(", F39) - 1), ",", "") * 172, "#,##0") &amp; " " &amp; MID(F39, FIND("(", F39), LEN(F39))</f>
        <v>131,236 (7.73%)</v>
      </c>
      <c r="I39" s="4"/>
    </row>
    <row r="40" spans="1:9" x14ac:dyDescent="0.6">
      <c r="A40">
        <v>0</v>
      </c>
      <c r="B40" s="1" t="s">
        <v>291</v>
      </c>
      <c r="C40" s="4" t="s">
        <v>301</v>
      </c>
      <c r="D40" s="4" t="s">
        <v>26</v>
      </c>
      <c r="E40" s="4" t="s">
        <v>174</v>
      </c>
      <c r="F40" s="4" t="s">
        <v>175</v>
      </c>
      <c r="G40" s="4" t="s">
        <v>174</v>
      </c>
      <c r="H40" s="4" t="s">
        <v>175</v>
      </c>
      <c r="I40" s="4" t="s">
        <v>176</v>
      </c>
    </row>
    <row r="41" spans="1:9" x14ac:dyDescent="0.6">
      <c r="A41">
        <v>0</v>
      </c>
      <c r="B41" s="1" t="s">
        <v>291</v>
      </c>
      <c r="C41" s="4" t="s">
        <v>325</v>
      </c>
      <c r="D41" s="3">
        <v>0</v>
      </c>
      <c r="E41" s="4" t="s">
        <v>177</v>
      </c>
      <c r="F41" s="4" t="s">
        <v>178</v>
      </c>
      <c r="G41" s="4" t="str">
        <f>TEXT(SUBSTITUTE(LEFT(E41, FIND("(", E41) - 1), ",", "") * 172, "#,##0") &amp; " " &amp; MID(E41, FIND("(", E41), LEN(E41))</f>
        <v>637,672,628 (46.40%)</v>
      </c>
      <c r="H41" s="4" t="str">
        <f>TEXT(SUBSTITUTE(LEFT(F41, FIND("(", F41) - 1), ",", "") * 172, "#,##0") &amp; " " &amp; MID(F41, FIND("(", F41), LEN(F41))</f>
        <v>983,152 (57.90%)</v>
      </c>
      <c r="I41" s="4" t="s">
        <v>179</v>
      </c>
    </row>
    <row r="42" spans="1:9" x14ac:dyDescent="0.6">
      <c r="A42">
        <v>0</v>
      </c>
      <c r="B42" s="1" t="s">
        <v>291</v>
      </c>
      <c r="C42" s="4" t="s">
        <v>325</v>
      </c>
      <c r="D42" s="3">
        <v>1</v>
      </c>
      <c r="E42" s="4" t="s">
        <v>180</v>
      </c>
      <c r="F42" s="4" t="s">
        <v>181</v>
      </c>
      <c r="G42" s="4" t="str">
        <f>TEXT(SUBSTITUTE(LEFT(E42, FIND("(", E42) - 1), ",", "") * 172, "#,##0") &amp; " " &amp; MID(E42, FIND("(", E42), LEN(E42))</f>
        <v>736,537,024 (53.60%)</v>
      </c>
      <c r="H42" s="4" t="str">
        <f>TEXT(SUBSTITUTE(LEFT(F42, FIND("(", F42) - 1), ",", "") * 172, "#,##0") &amp; " " &amp; MID(F42, FIND("(", F42), LEN(F42))</f>
        <v>714,832 (42.10%)</v>
      </c>
      <c r="I42" s="4"/>
    </row>
    <row r="43" spans="1:9" x14ac:dyDescent="0.6">
      <c r="A43">
        <v>0</v>
      </c>
      <c r="B43" s="1" t="s">
        <v>291</v>
      </c>
      <c r="C43" s="4" t="s">
        <v>353</v>
      </c>
      <c r="D43" s="4" t="s">
        <v>26</v>
      </c>
      <c r="E43" s="4" t="s">
        <v>182</v>
      </c>
      <c r="F43" s="4" t="s">
        <v>183</v>
      </c>
      <c r="G43" s="4" t="s">
        <v>182</v>
      </c>
      <c r="H43" s="4" t="s">
        <v>183</v>
      </c>
      <c r="I43" s="4" t="s">
        <v>184</v>
      </c>
    </row>
    <row r="44" spans="1:9" x14ac:dyDescent="0.6">
      <c r="A44">
        <v>0</v>
      </c>
      <c r="B44" s="1" t="s">
        <v>291</v>
      </c>
      <c r="C44" s="4" t="s">
        <v>352</v>
      </c>
      <c r="D44" s="4" t="s">
        <v>26</v>
      </c>
      <c r="E44" s="4" t="s">
        <v>209</v>
      </c>
      <c r="F44" s="4" t="s">
        <v>210</v>
      </c>
      <c r="G44" s="4" t="s">
        <v>209</v>
      </c>
      <c r="H44" s="4" t="s">
        <v>210</v>
      </c>
      <c r="I44" s="4" t="s">
        <v>211</v>
      </c>
    </row>
    <row r="45" spans="1:9" x14ac:dyDescent="0.6">
      <c r="A45">
        <v>0</v>
      </c>
      <c r="B45" s="1" t="s">
        <v>291</v>
      </c>
      <c r="C45" s="4" t="s">
        <v>346</v>
      </c>
      <c r="D45" s="3">
        <v>0</v>
      </c>
      <c r="E45" s="4" t="s">
        <v>212</v>
      </c>
      <c r="F45" s="4" t="s">
        <v>213</v>
      </c>
      <c r="G45" s="4" t="str">
        <f>TEXT(SUBSTITUTE(LEFT(E45, FIND("(", E45) - 1), ",", "") * 172, "#,##0") &amp; " " &amp; MID(E45, FIND("(", E45), LEN(E45))</f>
        <v>1,373,874,080 (99.98%)</v>
      </c>
      <c r="H45" s="4" t="str">
        <f>TEXT(SUBSTITUTE(LEFT(F45, FIND("(", F45) - 1), ",", "") * 172, "#,##0") &amp; " " &amp; MID(F45, FIND("(", F45), LEN(F45))</f>
        <v>1,692,652 (99.69%)</v>
      </c>
      <c r="I45" s="4" t="s">
        <v>214</v>
      </c>
    </row>
    <row r="46" spans="1:9" x14ac:dyDescent="0.6">
      <c r="A46">
        <v>0</v>
      </c>
      <c r="B46" s="1" t="s">
        <v>291</v>
      </c>
      <c r="C46" s="4" t="s">
        <v>346</v>
      </c>
      <c r="D46" s="3">
        <v>1</v>
      </c>
      <c r="E46" s="4" t="s">
        <v>215</v>
      </c>
      <c r="F46" s="4" t="s">
        <v>216</v>
      </c>
      <c r="G46" s="4" t="str">
        <f>TEXT(SUBSTITUTE(LEFT(E46, FIND("(", E46) - 1), ",", "") * 172, "#,##0") &amp; " " &amp; MID(E46, FIND("(", E46), LEN(E46))</f>
        <v>335,572 (0.02%)</v>
      </c>
      <c r="H46" s="4" t="str">
        <f>TEXT(SUBSTITUTE(LEFT(F46, FIND("(", F46) - 1), ",", "") * 172, "#,##0") &amp; " " &amp; MID(F46, FIND("(", F46), LEN(F46))</f>
        <v>5,332 (0.31%)</v>
      </c>
      <c r="I46" s="4"/>
    </row>
    <row r="47" spans="1:9" x14ac:dyDescent="0.6">
      <c r="A47">
        <v>0</v>
      </c>
      <c r="B47" s="1" t="s">
        <v>291</v>
      </c>
      <c r="C47" s="4" t="s">
        <v>310</v>
      </c>
      <c r="D47" s="3">
        <v>0</v>
      </c>
      <c r="E47" s="4" t="s">
        <v>217</v>
      </c>
      <c r="F47" s="4" t="s">
        <v>218</v>
      </c>
      <c r="G47" s="4" t="str">
        <f>TEXT(SUBSTITUTE(LEFT(E47, FIND("(", E47) - 1), ",", "") * 172, "#,##0") &amp; " " &amp; MID(E47, FIND("(", E47), LEN(E47))</f>
        <v>1,305,030,564 (94.97%)</v>
      </c>
      <c r="H47" s="4" t="str">
        <f>TEXT(SUBSTITUTE(LEFT(F47, FIND("(", F47) - 1), ",", "") * 172, "#,##0") &amp; " " &amp; MID(F47, FIND("(", F47), LEN(F47))</f>
        <v>1,679,580 (98.92%)</v>
      </c>
      <c r="I47" s="4" t="s">
        <v>219</v>
      </c>
    </row>
    <row r="48" spans="1:9" x14ac:dyDescent="0.6">
      <c r="A48">
        <v>0</v>
      </c>
      <c r="B48" s="1" t="s">
        <v>291</v>
      </c>
      <c r="C48" s="4" t="s">
        <v>310</v>
      </c>
      <c r="D48" s="3">
        <v>1</v>
      </c>
      <c r="E48" s="4" t="s">
        <v>220</v>
      </c>
      <c r="F48" s="4" t="s">
        <v>221</v>
      </c>
      <c r="G48" s="4" t="str">
        <f>TEXT(SUBSTITUTE(LEFT(E48, FIND("(", E48) - 1), ",", "") * 172, "#,##0") &amp; " " &amp; MID(E48, FIND("(", E48), LEN(E48))</f>
        <v>69,179,088 (5.03%)</v>
      </c>
      <c r="H48" s="4" t="str">
        <f>TEXT(SUBSTITUTE(LEFT(F48, FIND("(", F48) - 1), ",", "") * 172, "#,##0") &amp; " " &amp; MID(F48, FIND("(", F48), LEN(F48))</f>
        <v>18,404 (1.08%)</v>
      </c>
      <c r="I48" s="4"/>
    </row>
    <row r="49" spans="1:9" x14ac:dyDescent="0.6">
      <c r="A49">
        <v>0</v>
      </c>
      <c r="B49" s="1" t="s">
        <v>291</v>
      </c>
      <c r="C49" s="4" t="s">
        <v>341</v>
      </c>
      <c r="D49" s="3">
        <v>0</v>
      </c>
      <c r="E49" s="4" t="s">
        <v>217</v>
      </c>
      <c r="F49" s="4" t="s">
        <v>218</v>
      </c>
      <c r="G49" s="4" t="str">
        <f>TEXT(SUBSTITUTE(LEFT(E49, FIND("(", E49) - 1), ",", "") * 172, "#,##0") &amp; " " &amp; MID(E49, FIND("(", E49), LEN(E49))</f>
        <v>1,305,030,564 (94.97%)</v>
      </c>
      <c r="H49" s="4" t="str">
        <f>TEXT(SUBSTITUTE(LEFT(F49, FIND("(", F49) - 1), ",", "") * 172, "#,##0") &amp; " " &amp; MID(F49, FIND("(", F49), LEN(F49))</f>
        <v>1,679,580 (98.92%)</v>
      </c>
      <c r="I49" s="4" t="s">
        <v>219</v>
      </c>
    </row>
    <row r="50" spans="1:9" x14ac:dyDescent="0.6">
      <c r="A50">
        <v>0</v>
      </c>
      <c r="B50" s="1" t="s">
        <v>291</v>
      </c>
      <c r="C50" s="4" t="s">
        <v>341</v>
      </c>
      <c r="D50" s="3">
        <v>1</v>
      </c>
      <c r="E50" s="4" t="s">
        <v>220</v>
      </c>
      <c r="F50" s="4" t="s">
        <v>221</v>
      </c>
      <c r="G50" s="4" t="str">
        <f>TEXT(SUBSTITUTE(LEFT(E50, FIND("(", E50) - 1), ",", "") * 172, "#,##0") &amp; " " &amp; MID(E50, FIND("(", E50), LEN(E50))</f>
        <v>69,179,088 (5.03%)</v>
      </c>
      <c r="H50" s="4" t="str">
        <f>TEXT(SUBSTITUTE(LEFT(F50, FIND("(", F50) - 1), ",", "") * 172, "#,##0") &amp; " " &amp; MID(F50, FIND("(", F50), LEN(F50))</f>
        <v>18,404 (1.08%)</v>
      </c>
      <c r="I50" s="4"/>
    </row>
    <row r="51" spans="1:9" x14ac:dyDescent="0.6">
      <c r="A51">
        <v>0</v>
      </c>
      <c r="B51" s="1" t="s">
        <v>291</v>
      </c>
      <c r="C51" s="4" t="s">
        <v>307</v>
      </c>
      <c r="D51" s="3">
        <v>0</v>
      </c>
      <c r="E51" s="4" t="s">
        <v>217</v>
      </c>
      <c r="F51" s="4" t="s">
        <v>218</v>
      </c>
      <c r="G51" s="4" t="str">
        <f>TEXT(SUBSTITUTE(LEFT(E51, FIND("(", E51) - 1), ",", "") * 172, "#,##0") &amp; " " &amp; MID(E51, FIND("(", E51), LEN(E51))</f>
        <v>1,305,030,564 (94.97%)</v>
      </c>
      <c r="H51" s="4" t="str">
        <f>TEXT(SUBSTITUTE(LEFT(F51, FIND("(", F51) - 1), ",", "") * 172, "#,##0") &amp; " " &amp; MID(F51, FIND("(", F51), LEN(F51))</f>
        <v>1,679,580 (98.92%)</v>
      </c>
      <c r="I51" s="4" t="s">
        <v>219</v>
      </c>
    </row>
    <row r="52" spans="1:9" x14ac:dyDescent="0.6">
      <c r="A52">
        <v>0</v>
      </c>
      <c r="B52" s="1" t="s">
        <v>291</v>
      </c>
      <c r="C52" s="4" t="s">
        <v>307</v>
      </c>
      <c r="D52" s="3">
        <v>1</v>
      </c>
      <c r="E52" s="4" t="s">
        <v>220</v>
      </c>
      <c r="F52" s="4" t="s">
        <v>221</v>
      </c>
      <c r="G52" s="4" t="str">
        <f>TEXT(SUBSTITUTE(LEFT(E52, FIND("(", E52) - 1), ",", "") * 172, "#,##0") &amp; " " &amp; MID(E52, FIND("(", E52), LEN(E52))</f>
        <v>69,179,088 (5.03%)</v>
      </c>
      <c r="H52" s="4" t="str">
        <f>TEXT(SUBSTITUTE(LEFT(F52, FIND("(", F52) - 1), ",", "") * 172, "#,##0") &amp; " " &amp; MID(F52, FIND("(", F52), LEN(F52))</f>
        <v>18,404 (1.08%)</v>
      </c>
      <c r="I52" s="4"/>
    </row>
    <row r="53" spans="1:9" x14ac:dyDescent="0.6">
      <c r="A53">
        <v>0</v>
      </c>
      <c r="B53" s="1" t="s">
        <v>291</v>
      </c>
      <c r="C53" s="4" t="s">
        <v>299</v>
      </c>
      <c r="D53" s="4" t="s">
        <v>26</v>
      </c>
      <c r="E53" s="4" t="s">
        <v>231</v>
      </c>
      <c r="F53" s="4" t="s">
        <v>232</v>
      </c>
      <c r="G53" s="4" t="s">
        <v>231</v>
      </c>
      <c r="H53" s="4" t="s">
        <v>232</v>
      </c>
      <c r="I53" s="4" t="s">
        <v>233</v>
      </c>
    </row>
    <row r="54" spans="1:9" x14ac:dyDescent="0.6">
      <c r="A54">
        <v>0</v>
      </c>
      <c r="B54" s="1" t="s">
        <v>291</v>
      </c>
      <c r="C54" s="4" t="s">
        <v>298</v>
      </c>
      <c r="D54" s="4" t="s">
        <v>26</v>
      </c>
      <c r="E54" s="4" t="s">
        <v>245</v>
      </c>
      <c r="F54" s="4" t="s">
        <v>246</v>
      </c>
      <c r="G54" s="4" t="s">
        <v>245</v>
      </c>
      <c r="H54" s="4" t="s">
        <v>246</v>
      </c>
      <c r="I54" s="4" t="s">
        <v>247</v>
      </c>
    </row>
    <row r="55" spans="1:9" x14ac:dyDescent="0.6">
      <c r="A55">
        <v>0</v>
      </c>
      <c r="B55" s="1" t="s">
        <v>291</v>
      </c>
      <c r="C55" s="4" t="s">
        <v>323</v>
      </c>
      <c r="D55" s="3">
        <v>0</v>
      </c>
      <c r="E55" s="4" t="s">
        <v>251</v>
      </c>
      <c r="F55" s="4" t="s">
        <v>252</v>
      </c>
      <c r="G55" s="4" t="str">
        <f>TEXT(SUBSTITUTE(LEFT(E55, FIND("(", E55) - 1), ",", "") * 172, "#,##0") &amp; " " &amp; MID(E55, FIND("(", E55), LEN(E55))</f>
        <v>1,177,230,436 (85.67%)</v>
      </c>
      <c r="H55" s="4" t="str">
        <f>TEXT(SUBSTITUTE(LEFT(F55, FIND("(", F55) - 1), ",", "") * 172, "#,##0") &amp; " " &amp; MID(F55, FIND("(", F55), LEN(F55))</f>
        <v>1,515,836 (89.27%)</v>
      </c>
      <c r="I55" s="4" t="s">
        <v>253</v>
      </c>
    </row>
    <row r="56" spans="1:9" x14ac:dyDescent="0.6">
      <c r="A56">
        <v>0</v>
      </c>
      <c r="B56" s="1" t="s">
        <v>291</v>
      </c>
      <c r="C56" s="4" t="s">
        <v>323</v>
      </c>
      <c r="D56" s="3">
        <v>1</v>
      </c>
      <c r="E56" s="4" t="s">
        <v>254</v>
      </c>
      <c r="F56" s="4" t="s">
        <v>255</v>
      </c>
      <c r="G56" s="4" t="str">
        <f>TEXT(SUBSTITUTE(LEFT(E56, FIND("(", E56) - 1), ",", "") * 172, "#,##0") &amp; " " &amp; MID(E56, FIND("(", E56), LEN(E56))</f>
        <v>196,979,216 (14.33%)</v>
      </c>
      <c r="H56" s="4" t="str">
        <f>TEXT(SUBSTITUTE(LEFT(F56, FIND("(", F56) - 1), ",", "") * 172, "#,##0") &amp; " " &amp; MID(F56, FIND("(", F56), LEN(F56))</f>
        <v>182,148 (10.73%)</v>
      </c>
      <c r="I56" s="4"/>
    </row>
    <row r="57" spans="1:9" x14ac:dyDescent="0.6">
      <c r="A57">
        <v>0</v>
      </c>
      <c r="B57" s="1" t="s">
        <v>291</v>
      </c>
      <c r="C57" s="4" t="s">
        <v>314</v>
      </c>
      <c r="D57" s="3">
        <v>0</v>
      </c>
      <c r="E57" s="4" t="s">
        <v>261</v>
      </c>
      <c r="F57" s="4" t="s">
        <v>262</v>
      </c>
      <c r="G57" s="4" t="str">
        <f>TEXT(SUBSTITUTE(LEFT(E57, FIND("(", E57) - 1), ",", "") * 172, "#,##0") &amp; " " &amp; MID(E57, FIND("(", E57), LEN(E57))</f>
        <v>1,374,098,540 (99.99%)</v>
      </c>
      <c r="H57" s="4" t="str">
        <f>TEXT(SUBSTITUTE(LEFT(F57, FIND("(", F57) - 1), ",", "") * 172, "#,##0") &amp; " " &amp; MID(F57, FIND("(", F57), LEN(F57))</f>
        <v>1,697,124 (99.95%)</v>
      </c>
      <c r="I57" s="4" t="s">
        <v>263</v>
      </c>
    </row>
    <row r="58" spans="1:9" x14ac:dyDescent="0.6">
      <c r="A58">
        <v>0</v>
      </c>
      <c r="B58" s="1" t="s">
        <v>291</v>
      </c>
      <c r="C58" s="4" t="s">
        <v>314</v>
      </c>
      <c r="D58" s="3">
        <v>1</v>
      </c>
      <c r="E58" s="4" t="s">
        <v>57</v>
      </c>
      <c r="F58" s="4" t="s">
        <v>58</v>
      </c>
      <c r="G58" s="4" t="str">
        <f>TEXT(SUBSTITUTE(LEFT(E58, FIND("(", E58) - 1), ",", "") * 172, "#,##0") &amp; " " &amp; MID(E58, FIND("(", E58), LEN(E58))</f>
        <v>111,112 (0.01%)</v>
      </c>
      <c r="H58" s="4" t="str">
        <f>TEXT(SUBSTITUTE(LEFT(F58, FIND("(", F58) - 1), ",", "") * 172, "#,##0") &amp; " " &amp; MID(F58, FIND("(", F58), LEN(F58))</f>
        <v>860 (0.05%)</v>
      </c>
      <c r="I58" s="4"/>
    </row>
    <row r="59" spans="1:9" x14ac:dyDescent="0.6">
      <c r="A59">
        <v>0</v>
      </c>
      <c r="B59" s="1" t="s">
        <v>291</v>
      </c>
      <c r="C59" s="4" t="s">
        <v>315</v>
      </c>
      <c r="D59" s="3">
        <v>0</v>
      </c>
      <c r="E59" s="4" t="s">
        <v>264</v>
      </c>
      <c r="F59" s="4" t="s">
        <v>265</v>
      </c>
      <c r="G59" s="4" t="str">
        <f>TEXT(SUBSTITUTE(LEFT(E59, FIND("(", E59) - 1), ",", "") * 172, "#,##0") &amp; " " &amp; MID(E59, FIND("(", E59), LEN(E59))</f>
        <v>1,373,085,116 (99.92%)</v>
      </c>
      <c r="H59" s="4" t="str">
        <f>TEXT(SUBSTITUTE(LEFT(F59, FIND("(", F59) - 1), ",", "") * 172, "#,##0") &amp; " " &amp; MID(F59, FIND("(", F59), LEN(F59))</f>
        <v>1,694,716 (99.81%)</v>
      </c>
      <c r="I59" s="4" t="s">
        <v>266</v>
      </c>
    </row>
    <row r="60" spans="1:9" x14ac:dyDescent="0.6">
      <c r="A60">
        <v>0</v>
      </c>
      <c r="B60" s="1" t="s">
        <v>291</v>
      </c>
      <c r="C60" s="4" t="s">
        <v>315</v>
      </c>
      <c r="D60" s="3">
        <v>1</v>
      </c>
      <c r="E60" s="4" t="s">
        <v>59</v>
      </c>
      <c r="F60" s="4" t="s">
        <v>60</v>
      </c>
      <c r="G60" s="4" t="str">
        <f>TEXT(SUBSTITUTE(LEFT(E60, FIND("(", E60) - 1), ",", "") * 172, "#,##0") &amp; " " &amp; MID(E60, FIND("(", E60), LEN(E60))</f>
        <v>1,124,536 (0.08%)</v>
      </c>
      <c r="H60" s="4" t="str">
        <f>TEXT(SUBSTITUTE(LEFT(F60, FIND("(", F60) - 1), ",", "") * 172, "#,##0") &amp; " " &amp; MID(F60, FIND("(", F60), LEN(F60))</f>
        <v>3,268 (0.19%)</v>
      </c>
      <c r="I60" s="4"/>
    </row>
    <row r="61" spans="1:9" x14ac:dyDescent="0.6">
      <c r="A61">
        <v>0</v>
      </c>
      <c r="B61" s="1" t="s">
        <v>291</v>
      </c>
      <c r="C61" s="4" t="s">
        <v>302</v>
      </c>
      <c r="D61" s="4" t="s">
        <v>26</v>
      </c>
      <c r="E61" s="4" t="s">
        <v>270</v>
      </c>
      <c r="F61" s="4" t="s">
        <v>271</v>
      </c>
      <c r="G61" s="4" t="s">
        <v>270</v>
      </c>
      <c r="H61" s="4" t="s">
        <v>271</v>
      </c>
      <c r="I61" s="4" t="s">
        <v>272</v>
      </c>
    </row>
    <row r="62" spans="1:9" x14ac:dyDescent="0.6">
      <c r="A62">
        <v>0</v>
      </c>
      <c r="B62" s="1" t="s">
        <v>291</v>
      </c>
      <c r="C62" s="4" t="s">
        <v>349</v>
      </c>
      <c r="D62" s="3">
        <v>0</v>
      </c>
      <c r="E62" s="4" t="s">
        <v>273</v>
      </c>
      <c r="F62" s="4" t="s">
        <v>274</v>
      </c>
      <c r="G62" s="4" t="str">
        <f>TEXT(SUBSTITUTE(LEFT(E62, FIND("(", E62) - 1), ",", "") * 172, "#,##0") &amp; " " &amp; MID(E62, FIND("(", E62), LEN(E62))</f>
        <v>1,373,628,808 (99.96%)</v>
      </c>
      <c r="H62" s="4" t="str">
        <f>TEXT(SUBSTITUTE(LEFT(F62, FIND("(", F62) - 1), ",", "") * 172, "#,##0") &amp; " " &amp; MID(F62, FIND("(", F62), LEN(F62))</f>
        <v>1,696,608 (99.92%)</v>
      </c>
      <c r="I62" s="4" t="s">
        <v>275</v>
      </c>
    </row>
    <row r="63" spans="1:9" x14ac:dyDescent="0.6">
      <c r="A63">
        <v>0</v>
      </c>
      <c r="B63" s="1" t="s">
        <v>291</v>
      </c>
      <c r="C63" s="4" t="s">
        <v>349</v>
      </c>
      <c r="D63" s="3">
        <v>1</v>
      </c>
      <c r="E63" s="4" t="s">
        <v>276</v>
      </c>
      <c r="F63" s="4" t="s">
        <v>277</v>
      </c>
      <c r="G63" s="4" t="str">
        <f>TEXT(SUBSTITUTE(LEFT(E63, FIND("(", E63) - 1), ",", "") * 172, "#,##0") &amp; " " &amp; MID(E63, FIND("(", E63), LEN(E63))</f>
        <v>580,844 (0.04%)</v>
      </c>
      <c r="H63" s="4" t="str">
        <f>TEXT(SUBSTITUTE(LEFT(F63, FIND("(", F63) - 1), ",", "") * 172, "#,##0") &amp; " " &amp; MID(F63, FIND("(", F63), LEN(F63))</f>
        <v>1,376 (0.08%)</v>
      </c>
      <c r="I63" s="4"/>
    </row>
    <row r="64" spans="1:9" x14ac:dyDescent="0.6">
      <c r="A64">
        <v>0</v>
      </c>
      <c r="B64" s="1" t="s">
        <v>291</v>
      </c>
      <c r="C64" s="4" t="s">
        <v>320</v>
      </c>
      <c r="D64" s="3">
        <v>0</v>
      </c>
      <c r="E64" s="4" t="s">
        <v>278</v>
      </c>
      <c r="F64" s="4" t="s">
        <v>279</v>
      </c>
      <c r="G64" s="4" t="str">
        <f>TEXT(SUBSTITUTE(LEFT(E64, FIND("(", E64) - 1), ",", "") * 172, "#,##0") &amp; " " &amp; MID(E64, FIND("(", E64), LEN(E64))</f>
        <v>1,373,758,668 (99.97%)</v>
      </c>
      <c r="H64" s="4" t="str">
        <f>TEXT(SUBSTITUTE(LEFT(F64, FIND("(", F64) - 1), ",", "") * 172, "#,##0") &amp; " " &amp; MID(F64, FIND("(", F64), LEN(F64))</f>
        <v>1,697,984 (100.00%)</v>
      </c>
      <c r="I64" s="4" t="s">
        <v>280</v>
      </c>
    </row>
    <row r="65" spans="1:9" x14ac:dyDescent="0.6">
      <c r="A65">
        <v>0</v>
      </c>
      <c r="B65" s="1" t="s">
        <v>291</v>
      </c>
      <c r="C65" s="4" t="s">
        <v>320</v>
      </c>
      <c r="D65" s="3">
        <v>1</v>
      </c>
      <c r="E65" s="4" t="s">
        <v>281</v>
      </c>
      <c r="F65" s="4" t="s">
        <v>53</v>
      </c>
      <c r="G65" s="4" t="str">
        <f>TEXT(SUBSTITUTE(LEFT(E65, FIND("(", E65) - 1), ",", "") * 172, "#,##0") &amp; " " &amp; MID(E65, FIND("(", E65), LEN(E65))</f>
        <v>450,984 (0.03%)</v>
      </c>
      <c r="H65" s="4" t="str">
        <f>TEXT(SUBSTITUTE(LEFT(F65, FIND("(", F65) - 1), ",", "") * 172, "#,##0") &amp; " " &amp; MID(F65, FIND("(", F65), LEN(F65))</f>
        <v>0 (0.00%)</v>
      </c>
      <c r="I65" s="4"/>
    </row>
    <row r="66" spans="1:9" x14ac:dyDescent="0.6">
      <c r="A66">
        <v>0</v>
      </c>
      <c r="B66" s="1" t="s">
        <v>291</v>
      </c>
      <c r="C66" s="4" t="s">
        <v>312</v>
      </c>
      <c r="D66" s="3">
        <v>0</v>
      </c>
      <c r="E66" s="4" t="s">
        <v>282</v>
      </c>
      <c r="F66" s="4" t="s">
        <v>279</v>
      </c>
      <c r="G66" s="4" t="str">
        <f>TEXT(SUBSTITUTE(LEFT(E66, FIND("(", E66) - 1), ",", "") * 172, "#,##0") &amp; " " &amp; MID(E66, FIND("(", E66), LEN(E66))</f>
        <v>1,373,798,056 (99.97%)</v>
      </c>
      <c r="H66" s="4" t="str">
        <f>TEXT(SUBSTITUTE(LEFT(F66, FIND("(", F66) - 1), ",", "") * 172, "#,##0") &amp; " " &amp; MID(F66, FIND("(", F66), LEN(F66))</f>
        <v>1,697,984 (100.00%)</v>
      </c>
      <c r="I66" s="4" t="s">
        <v>283</v>
      </c>
    </row>
    <row r="67" spans="1:9" x14ac:dyDescent="0.6">
      <c r="A67">
        <v>0</v>
      </c>
      <c r="B67" s="1" t="s">
        <v>291</v>
      </c>
      <c r="C67" s="4" t="s">
        <v>312</v>
      </c>
      <c r="D67" s="3">
        <v>1</v>
      </c>
      <c r="E67" s="4" t="s">
        <v>52</v>
      </c>
      <c r="F67" s="4" t="s">
        <v>53</v>
      </c>
      <c r="G67" s="4" t="str">
        <f>TEXT(SUBSTITUTE(LEFT(E67, FIND("(", E67) - 1), ",", "") * 172, "#,##0") &amp; " " &amp; MID(E67, FIND("(", E67), LEN(E67))</f>
        <v>411,596 (0.03%)</v>
      </c>
      <c r="H67" s="4" t="str">
        <f>TEXT(SUBSTITUTE(LEFT(F67, FIND("(", F67) - 1), ",", "") * 172, "#,##0") &amp; " " &amp; MID(F67, FIND("(", F67), LEN(F67))</f>
        <v>0 (0.00%)</v>
      </c>
      <c r="I67" s="4"/>
    </row>
    <row r="68" spans="1:9" x14ac:dyDescent="0.6">
      <c r="A68">
        <v>0</v>
      </c>
      <c r="B68" s="1" t="s">
        <v>291</v>
      </c>
      <c r="C68" s="4" t="s">
        <v>313</v>
      </c>
      <c r="D68" s="3">
        <v>0</v>
      </c>
      <c r="E68" s="4" t="s">
        <v>284</v>
      </c>
      <c r="F68" s="4" t="s">
        <v>285</v>
      </c>
      <c r="G68" s="4" t="str">
        <f>TEXT(SUBSTITUTE(LEFT(E68, FIND("(", E68) - 1), ",", "") * 172, "#,##0") &amp; " " &amp; MID(E68, FIND("(", E68), LEN(E68))</f>
        <v>1,372,684,872 (99.89%)</v>
      </c>
      <c r="H68" s="4" t="str">
        <f>TEXT(SUBSTITUTE(LEFT(F68, FIND("(", F68) - 1), ",", "") * 172, "#,##0") &amp; " " &amp; MID(F68, FIND("(", F68), LEN(F68))</f>
        <v>1,696,436 (99.91%)</v>
      </c>
      <c r="I68" s="4" t="s">
        <v>286</v>
      </c>
    </row>
    <row r="69" spans="1:9" x14ac:dyDescent="0.6">
      <c r="A69">
        <v>0</v>
      </c>
      <c r="B69" s="1" t="s">
        <v>291</v>
      </c>
      <c r="C69" s="4" t="s">
        <v>313</v>
      </c>
      <c r="D69" s="3">
        <v>1</v>
      </c>
      <c r="E69" s="4" t="s">
        <v>55</v>
      </c>
      <c r="F69" s="4" t="s">
        <v>56</v>
      </c>
      <c r="G69" s="4" t="str">
        <f>TEXT(SUBSTITUTE(LEFT(E69, FIND("(", E69) - 1), ",", "") * 172, "#,##0") &amp; " " &amp; MID(E69, FIND("(", E69), LEN(E69))</f>
        <v>1,524,780 (0.11%)</v>
      </c>
      <c r="H69" s="4" t="str">
        <f>TEXT(SUBSTITUTE(LEFT(F69, FIND("(", F69) - 1), ",", "") * 172, "#,##0") &amp; " " &amp; MID(F69, FIND("(", F69), LEN(F69))</f>
        <v>1,548 (0.09%)</v>
      </c>
      <c r="I69" s="4"/>
    </row>
    <row r="70" spans="1:9" x14ac:dyDescent="0.6">
      <c r="A70">
        <v>0</v>
      </c>
      <c r="B70" s="1" t="s">
        <v>291</v>
      </c>
      <c r="C70" s="4" t="s">
        <v>311</v>
      </c>
      <c r="D70" s="3">
        <v>0</v>
      </c>
      <c r="E70" s="4" t="s">
        <v>287</v>
      </c>
      <c r="F70" s="4" t="s">
        <v>279</v>
      </c>
      <c r="G70" s="4" t="str">
        <f>TEXT(SUBSTITUTE(LEFT(E70, FIND("(", E70) - 1), ",", "") * 172, "#,##0") &amp; " " &amp; MID(E70, FIND("(", E70), LEN(E70))</f>
        <v>1,374,196,752 (100.00%)</v>
      </c>
      <c r="H70" s="4" t="str">
        <f>TEXT(SUBSTITUTE(LEFT(F70, FIND("(", F70) - 1), ",", "") * 172, "#,##0") &amp; " " &amp; MID(F70, FIND("(", F70), LEN(F70))</f>
        <v>1,697,984 (100.00%)</v>
      </c>
      <c r="I70" s="4" t="s">
        <v>288</v>
      </c>
    </row>
    <row r="71" spans="1:9" x14ac:dyDescent="0.6">
      <c r="A71">
        <v>0</v>
      </c>
      <c r="B71" s="1" t="s">
        <v>291</v>
      </c>
      <c r="C71" s="4" t="s">
        <v>311</v>
      </c>
      <c r="D71" s="3">
        <v>1</v>
      </c>
      <c r="E71" s="4" t="s">
        <v>289</v>
      </c>
      <c r="F71" s="4" t="s">
        <v>53</v>
      </c>
      <c r="G71" s="4" t="str">
        <f>TEXT(SUBSTITUTE(LEFT(E71, FIND("(", E71) - 1), ",", "") * 172, "#,##0") &amp; " " &amp; MID(E71, FIND("(", E71), LEN(E71))</f>
        <v>12,900 (0.00%)</v>
      </c>
      <c r="H71" s="4" t="str">
        <f>TEXT(SUBSTITUTE(LEFT(F71, FIND("(", F71) - 1), ",", "") * 172, "#,##0") &amp; " " &amp; MID(F71, FIND("(", F71), LEN(F71))</f>
        <v>0 (0.00%)</v>
      </c>
      <c r="I71" s="4"/>
    </row>
    <row r="72" spans="1:9" x14ac:dyDescent="0.6">
      <c r="A72">
        <v>1</v>
      </c>
      <c r="B72" s="1" t="s">
        <v>295</v>
      </c>
      <c r="C72" s="4" t="s">
        <v>322</v>
      </c>
      <c r="D72" s="4" t="s">
        <v>26</v>
      </c>
      <c r="E72" s="4" t="s">
        <v>76</v>
      </c>
      <c r="F72" s="4" t="s">
        <v>77</v>
      </c>
      <c r="G72" s="4" t="s">
        <v>76</v>
      </c>
      <c r="H72" s="4" t="s">
        <v>77</v>
      </c>
      <c r="I72" s="4" t="s">
        <v>78</v>
      </c>
    </row>
    <row r="73" spans="1:9" x14ac:dyDescent="0.6">
      <c r="A73">
        <v>1</v>
      </c>
      <c r="B73" s="1" t="s">
        <v>295</v>
      </c>
      <c r="C73" s="4" t="s">
        <v>336</v>
      </c>
      <c r="D73" s="4" t="s">
        <v>26</v>
      </c>
      <c r="E73" s="4" t="s">
        <v>150</v>
      </c>
      <c r="F73" s="4" t="s">
        <v>151</v>
      </c>
      <c r="G73" s="4" t="s">
        <v>150</v>
      </c>
      <c r="H73" s="4" t="s">
        <v>151</v>
      </c>
      <c r="I73" s="4" t="s">
        <v>152</v>
      </c>
    </row>
    <row r="74" spans="1:9" x14ac:dyDescent="0.6">
      <c r="A74">
        <v>1</v>
      </c>
      <c r="B74" s="1" t="s">
        <v>295</v>
      </c>
      <c r="C74" s="4" t="s">
        <v>337</v>
      </c>
      <c r="D74" s="4" t="s">
        <v>26</v>
      </c>
      <c r="E74" s="4" t="s">
        <v>150</v>
      </c>
      <c r="F74" s="4" t="s">
        <v>259</v>
      </c>
      <c r="G74" s="4" t="s">
        <v>150</v>
      </c>
      <c r="H74" s="4" t="s">
        <v>259</v>
      </c>
      <c r="I74" s="4" t="s">
        <v>260</v>
      </c>
    </row>
    <row r="75" spans="1:9" x14ac:dyDescent="0.6">
      <c r="A75">
        <v>2</v>
      </c>
      <c r="B75" s="1" t="s">
        <v>294</v>
      </c>
      <c r="C75" s="4" t="s">
        <v>303</v>
      </c>
      <c r="D75" s="3">
        <v>0</v>
      </c>
      <c r="E75" s="4" t="s">
        <v>79</v>
      </c>
      <c r="F75" s="4" t="s">
        <v>80</v>
      </c>
      <c r="G75" s="4" t="str">
        <f>TEXT(SUBSTITUTE(LEFT(E75, FIND("(", E75) - 1), ",", "") * 172, "#,##0") &amp; " " &amp; MID(E75, FIND("(", E75), LEN(E75))</f>
        <v>1,295,207,472 (94.25%)</v>
      </c>
      <c r="H75" s="4" t="str">
        <f>TEXT(SUBSTITUTE(LEFT(F75, FIND("(", F75) - 1), ",", "") * 172, "#,##0") &amp; " " &amp; MID(F75, FIND("(", F75), LEN(F75))</f>
        <v>1,333,688 (78.55%)</v>
      </c>
      <c r="I75" s="4" t="s">
        <v>81</v>
      </c>
    </row>
    <row r="76" spans="1:9" x14ac:dyDescent="0.6">
      <c r="A76">
        <v>2</v>
      </c>
      <c r="B76" s="1" t="s">
        <v>294</v>
      </c>
      <c r="C76" s="4" t="s">
        <v>303</v>
      </c>
      <c r="D76" s="3">
        <v>1</v>
      </c>
      <c r="E76" s="4" t="s">
        <v>82</v>
      </c>
      <c r="F76" s="4" t="s">
        <v>83</v>
      </c>
      <c r="G76" s="4" t="str">
        <f>TEXT(SUBSTITUTE(LEFT(E76, FIND("(", E76) - 1), ",", "") * 172, "#,##0") &amp; " " &amp; MID(E76, FIND("(", E76), LEN(E76))</f>
        <v>79,002,180 (5.75%)</v>
      </c>
      <c r="H76" s="4" t="str">
        <f>TEXT(SUBSTITUTE(LEFT(F76, FIND("(", F76) - 1), ",", "") * 172, "#,##0") &amp; " " &amp; MID(F76, FIND("(", F76), LEN(F76))</f>
        <v>364,296 (21.45%)</v>
      </c>
      <c r="I76" s="4"/>
    </row>
    <row r="77" spans="1:9" x14ac:dyDescent="0.6">
      <c r="A77">
        <v>2</v>
      </c>
      <c r="B77" s="1" t="s">
        <v>294</v>
      </c>
      <c r="C77" s="4" t="s">
        <v>326</v>
      </c>
      <c r="D77" s="3">
        <v>-0.97492790222167902</v>
      </c>
      <c r="E77" s="4" t="s">
        <v>92</v>
      </c>
      <c r="F77" s="4" t="s">
        <v>93</v>
      </c>
      <c r="G77" s="4" t="str">
        <f>TEXT(SUBSTITUTE(LEFT(E77, FIND("(", E77) - 1), ",", "") * 172, "#,##0") &amp; " " &amp; MID(E77, FIND("(", E77), LEN(E77))</f>
        <v>54,762,736 (3.99%)</v>
      </c>
      <c r="H77" s="4" t="str">
        <f>TEXT(SUBSTITUTE(LEFT(F77, FIND("(", F77) - 1), ",", "") * 172, "#,##0") &amp; " " &amp; MID(F77, FIND("(", F77), LEN(F77))</f>
        <v>185,072 (10.90%)</v>
      </c>
      <c r="I77" s="4" t="s">
        <v>94</v>
      </c>
    </row>
    <row r="78" spans="1:9" x14ac:dyDescent="0.6">
      <c r="A78">
        <v>2</v>
      </c>
      <c r="B78" s="1" t="s">
        <v>294</v>
      </c>
      <c r="C78" s="4" t="s">
        <v>326</v>
      </c>
      <c r="D78" s="3">
        <v>-0.78183150291442804</v>
      </c>
      <c r="E78" s="4" t="s">
        <v>95</v>
      </c>
      <c r="F78" s="4" t="s">
        <v>96</v>
      </c>
      <c r="G78" s="4" t="str">
        <f>TEXT(SUBSTITUTE(LEFT(E78, FIND("(", E78) - 1), ",", "") * 172, "#,##0") &amp; " " &amp; MID(E78, FIND("(", E78), LEN(E78))</f>
        <v>24,239,444 (1.76%)</v>
      </c>
      <c r="H78" s="4" t="str">
        <f>TEXT(SUBSTITUTE(LEFT(F78, FIND("(", F78) - 1), ",", "") * 172, "#,##0") &amp; " " &amp; MID(F78, FIND("(", F78), LEN(F78))</f>
        <v>179,224 (10.56%)</v>
      </c>
      <c r="I78" s="4"/>
    </row>
    <row r="79" spans="1:9" x14ac:dyDescent="0.6">
      <c r="A79">
        <v>2</v>
      </c>
      <c r="B79" s="1" t="s">
        <v>294</v>
      </c>
      <c r="C79" s="4" t="s">
        <v>326</v>
      </c>
      <c r="D79" s="3">
        <v>-0.433883726596832</v>
      </c>
      <c r="E79" s="4" t="s">
        <v>97</v>
      </c>
      <c r="F79" s="4" t="s">
        <v>98</v>
      </c>
      <c r="G79" s="4" t="str">
        <f>TEXT(SUBSTITUTE(LEFT(E79, FIND("(", E79) - 1), ",", "") * 172, "#,##0") &amp; " " &amp; MID(E79, FIND("(", E79), LEN(E79))</f>
        <v>398,359,568 (28.99%)</v>
      </c>
      <c r="H79" s="4" t="str">
        <f>TEXT(SUBSTITUTE(LEFT(F79, FIND("(", F79) - 1), ",", "") * 172, "#,##0") &amp; " " &amp; MID(F79, FIND("(", F79), LEN(F79))</f>
        <v>294,980 (17.37%)</v>
      </c>
      <c r="I79" s="4"/>
    </row>
    <row r="80" spans="1:9" x14ac:dyDescent="0.6">
      <c r="A80">
        <v>2</v>
      </c>
      <c r="B80" s="1" t="s">
        <v>294</v>
      </c>
      <c r="C80" s="4" t="s">
        <v>326</v>
      </c>
      <c r="D80" s="3">
        <v>0</v>
      </c>
      <c r="E80" s="4" t="s">
        <v>99</v>
      </c>
      <c r="F80" s="4" t="s">
        <v>100</v>
      </c>
      <c r="G80" s="4" t="str">
        <f>TEXT(SUBSTITUTE(LEFT(E80, FIND("(", E80) - 1), ",", "") * 172, "#,##0") &amp; " " &amp; MID(E80, FIND("(", E80), LEN(E80))</f>
        <v>195,071,220 (14.20%)</v>
      </c>
      <c r="H80" s="4" t="str">
        <f>TEXT(SUBSTITUTE(LEFT(F80, FIND("(", F80) - 1), ",", "") * 172, "#,##0") &amp; " " &amp; MID(F80, FIND("(", F80), LEN(F80))</f>
        <v>210,872 (12.42%)</v>
      </c>
      <c r="I80" s="4"/>
    </row>
    <row r="81" spans="1:9" x14ac:dyDescent="0.6">
      <c r="A81">
        <v>2</v>
      </c>
      <c r="B81" s="1" t="s">
        <v>294</v>
      </c>
      <c r="C81" s="4" t="s">
        <v>326</v>
      </c>
      <c r="D81" s="3">
        <v>0.433883726596832</v>
      </c>
      <c r="E81" s="4" t="s">
        <v>101</v>
      </c>
      <c r="F81" s="4" t="s">
        <v>102</v>
      </c>
      <c r="G81" s="4" t="str">
        <f>TEXT(SUBSTITUTE(LEFT(E81, FIND("(", E81) - 1), ",", "") * 172, "#,##0") &amp; " " &amp; MID(E81, FIND("(", E81), LEN(E81))</f>
        <v>121,870,772 (8.87%)</v>
      </c>
      <c r="H81" s="4" t="str">
        <f>TEXT(SUBSTITUTE(LEFT(F81, FIND("(", F81) - 1), ",", "") * 172, "#,##0") &amp; " " &amp; MID(F81, FIND("(", F81), LEN(F81))</f>
        <v>241,488 (14.22%)</v>
      </c>
      <c r="I81" s="4"/>
    </row>
    <row r="82" spans="1:9" x14ac:dyDescent="0.6">
      <c r="A82">
        <v>2</v>
      </c>
      <c r="B82" s="1" t="s">
        <v>294</v>
      </c>
      <c r="C82" s="4" t="s">
        <v>326</v>
      </c>
      <c r="D82" s="3">
        <v>0.78183150291442804</v>
      </c>
      <c r="E82" s="4" t="s">
        <v>103</v>
      </c>
      <c r="F82" s="4" t="s">
        <v>104</v>
      </c>
      <c r="G82" s="4" t="str">
        <f>TEXT(SUBSTITUTE(LEFT(E82, FIND("(", E82) - 1), ",", "") * 172, "#,##0") &amp; " " &amp; MID(E82, FIND("(", E82), LEN(E82))</f>
        <v>212,535,584 (15.47%)</v>
      </c>
      <c r="H82" s="4" t="str">
        <f>TEXT(SUBSTITUTE(LEFT(F82, FIND("(", F82) - 1), ",", "") * 172, "#,##0") &amp; " " &amp; MID(F82, FIND("(", F82), LEN(F82))</f>
        <v>234,092 (13.79%)</v>
      </c>
      <c r="I82" s="4"/>
    </row>
    <row r="83" spans="1:9" x14ac:dyDescent="0.6">
      <c r="A83">
        <v>2</v>
      </c>
      <c r="B83" s="1" t="s">
        <v>294</v>
      </c>
      <c r="C83" s="4" t="s">
        <v>326</v>
      </c>
      <c r="D83" s="3">
        <v>0.97492790222167902</v>
      </c>
      <c r="E83" s="4" t="s">
        <v>105</v>
      </c>
      <c r="F83" s="4" t="s">
        <v>106</v>
      </c>
      <c r="G83" s="4" t="str">
        <f>TEXT(SUBSTITUTE(LEFT(E83, FIND("(", E83) - 1), ",", "") * 172, "#,##0") &amp; " " &amp; MID(E83, FIND("(", E83), LEN(E83))</f>
        <v>367,370,328 (26.73%)</v>
      </c>
      <c r="H83" s="4" t="str">
        <f>TEXT(SUBSTITUTE(LEFT(F83, FIND("(", F83) - 1), ",", "") * 172, "#,##0") &amp; " " &amp; MID(F83, FIND("(", F83), LEN(F83))</f>
        <v>352,256 (20.75%)</v>
      </c>
      <c r="I83" s="4"/>
    </row>
    <row r="84" spans="1:9" x14ac:dyDescent="0.6">
      <c r="A84">
        <v>2</v>
      </c>
      <c r="B84" s="1" t="s">
        <v>294</v>
      </c>
      <c r="C84" s="4" t="s">
        <v>335</v>
      </c>
      <c r="D84" s="3">
        <v>4.9787066876888199E-2</v>
      </c>
      <c r="E84" s="4" t="s">
        <v>185</v>
      </c>
      <c r="F84" s="4" t="s">
        <v>186</v>
      </c>
      <c r="G84" s="4" t="str">
        <f>TEXT(SUBSTITUTE(LEFT(E84, FIND("(", E84) - 1), ",", "") * 172, "#,##0") &amp; " " &amp; MID(E84, FIND("(", E84), LEN(E84))</f>
        <v>57,449,032 (4.18%)</v>
      </c>
      <c r="H84" s="4" t="str">
        <f>TEXT(SUBSTITUTE(LEFT(F84, FIND("(", F84) - 1), ",", "") * 172, "#,##0") &amp; " " &amp; MID(F84, FIND("(", F84), LEN(F84))</f>
        <v>60,716 (3.58%)</v>
      </c>
      <c r="I84" s="4" t="s">
        <v>187</v>
      </c>
    </row>
    <row r="85" spans="1:9" x14ac:dyDescent="0.6">
      <c r="A85">
        <v>2</v>
      </c>
      <c r="B85" s="1" t="s">
        <v>294</v>
      </c>
      <c r="C85" s="4" t="s">
        <v>335</v>
      </c>
      <c r="D85" s="3">
        <v>6.9483451545238495E-2</v>
      </c>
      <c r="E85" s="4" t="s">
        <v>188</v>
      </c>
      <c r="F85" s="4" t="s">
        <v>189</v>
      </c>
      <c r="G85" s="4" t="str">
        <f>TEXT(SUBSTITUTE(LEFT(E85, FIND("(", E85) - 1), ",", "") * 172, "#,##0") &amp; " " &amp; MID(E85, FIND("(", E85), LEN(E85))</f>
        <v>36,944,912 (2.69%)</v>
      </c>
      <c r="H85" s="4" t="str">
        <f>TEXT(SUBSTITUTE(LEFT(F85, FIND("(", F85) - 1), ",", "") * 172, "#,##0") &amp; " " &amp; MID(F85, FIND("(", F85), LEN(F85))</f>
        <v>54,524 (3.21%)</v>
      </c>
      <c r="I85" s="4"/>
    </row>
    <row r="86" spans="1:9" x14ac:dyDescent="0.6">
      <c r="A86">
        <v>2</v>
      </c>
      <c r="B86" s="1" t="s">
        <v>294</v>
      </c>
      <c r="C86" s="4" t="s">
        <v>335</v>
      </c>
      <c r="D86" s="3">
        <v>9.6971966326236697E-2</v>
      </c>
      <c r="E86" s="4" t="s">
        <v>190</v>
      </c>
      <c r="F86" s="4" t="s">
        <v>191</v>
      </c>
      <c r="G86" s="4" t="str">
        <f>TEXT(SUBSTITUTE(LEFT(E86, FIND("(", E86) - 1), ",", "") * 172, "#,##0") &amp; " " &amp; MID(E86, FIND("(", E86), LEN(E86))</f>
        <v>137,530,856 (10.01%)</v>
      </c>
      <c r="H86" s="4" t="str">
        <f>TEXT(SUBSTITUTE(LEFT(F86, FIND("(", F86) - 1), ",", "") * 172, "#,##0") &amp; " " &amp; MID(F86, FIND("(", F86), LEN(F86))</f>
        <v>141,384 (8.33%)</v>
      </c>
      <c r="I86" s="4"/>
    </row>
    <row r="87" spans="1:9" x14ac:dyDescent="0.6">
      <c r="A87">
        <v>2</v>
      </c>
      <c r="B87" s="1" t="s">
        <v>294</v>
      </c>
      <c r="C87" s="4" t="s">
        <v>335</v>
      </c>
      <c r="D87" s="3">
        <v>0.13533528149127899</v>
      </c>
      <c r="E87" s="4" t="s">
        <v>192</v>
      </c>
      <c r="F87" s="4" t="s">
        <v>193</v>
      </c>
      <c r="G87" s="4" t="str">
        <f>TEXT(SUBSTITUTE(LEFT(E87, FIND("(", E87) - 1), ",", "") * 172, "#,##0") &amp; " " &amp; MID(E87, FIND("(", E87), LEN(E87))</f>
        <v>164,658,008 (11.98%)</v>
      </c>
      <c r="H87" s="4" t="str">
        <f>TEXT(SUBSTITUTE(LEFT(F87, FIND("(", F87) - 1), ",", "") * 172, "#,##0") &amp; " " &amp; MID(F87, FIND("(", F87), LEN(F87))</f>
        <v>166,840 (9.83%)</v>
      </c>
      <c r="I87" s="4"/>
    </row>
    <row r="88" spans="1:9" x14ac:dyDescent="0.6">
      <c r="A88">
        <v>2</v>
      </c>
      <c r="B88" s="1" t="s">
        <v>294</v>
      </c>
      <c r="C88" s="4" t="s">
        <v>335</v>
      </c>
      <c r="D88" s="3">
        <v>0.18887560069560999</v>
      </c>
      <c r="E88" s="4" t="s">
        <v>194</v>
      </c>
      <c r="F88" s="4" t="s">
        <v>195</v>
      </c>
      <c r="G88" s="4" t="str">
        <f>TEXT(SUBSTITUTE(LEFT(E88, FIND("(", E88) - 1), ",", "") * 172, "#,##0") &amp; " " &amp; MID(E88, FIND("(", E88), LEN(E88))</f>
        <v>167,992,916 (12.22%)</v>
      </c>
      <c r="H88" s="4" t="str">
        <f>TEXT(SUBSTITUTE(LEFT(F88, FIND("(", F88) - 1), ",", "") * 172, "#,##0") &amp; " " &amp; MID(F88, FIND("(", F88), LEN(F88))</f>
        <v>184,040 (10.84%)</v>
      </c>
      <c r="I88" s="4"/>
    </row>
    <row r="89" spans="1:9" x14ac:dyDescent="0.6">
      <c r="A89">
        <v>2</v>
      </c>
      <c r="B89" s="1" t="s">
        <v>294</v>
      </c>
      <c r="C89" s="4" t="s">
        <v>335</v>
      </c>
      <c r="D89" s="3">
        <v>0.26359713077545099</v>
      </c>
      <c r="E89" s="4" t="s">
        <v>196</v>
      </c>
      <c r="F89" s="4" t="s">
        <v>197</v>
      </c>
      <c r="G89" s="4" t="str">
        <f>TEXT(SUBSTITUTE(LEFT(E89, FIND("(", E89) - 1), ",", "") * 172, "#,##0") &amp; " " &amp; MID(E89, FIND("(", E89), LEN(E89))</f>
        <v>172,135,536 (12.53%)</v>
      </c>
      <c r="H89" s="4" t="str">
        <f>TEXT(SUBSTITUTE(LEFT(F89, FIND("(", F89) - 1), ",", "") * 172, "#,##0") &amp; " " &amp; MID(F89, FIND("(", F89), LEN(F89))</f>
        <v>280,704 (16.53%)</v>
      </c>
      <c r="I89" s="4"/>
    </row>
    <row r="90" spans="1:9" x14ac:dyDescent="0.6">
      <c r="A90">
        <v>2</v>
      </c>
      <c r="B90" s="1" t="s">
        <v>294</v>
      </c>
      <c r="C90" s="4" t="s">
        <v>335</v>
      </c>
      <c r="D90" s="3">
        <v>0.36787945032119701</v>
      </c>
      <c r="E90" s="4" t="s">
        <v>198</v>
      </c>
      <c r="F90" s="4" t="s">
        <v>199</v>
      </c>
      <c r="G90" s="4" t="str">
        <f>TEXT(SUBSTITUTE(LEFT(E90, FIND("(", E90) - 1), ",", "") * 172, "#,##0") &amp; " " &amp; MID(E90, FIND("(", E90), LEN(E90))</f>
        <v>213,863,596 (15.56%)</v>
      </c>
      <c r="H90" s="4" t="str">
        <f>TEXT(SUBSTITUTE(LEFT(F90, FIND("(", F90) - 1), ",", "") * 172, "#,##0") &amp; " " &amp; MID(F90, FIND("(", F90), LEN(F90))</f>
        <v>233,232 (13.74%)</v>
      </c>
      <c r="I90" s="4"/>
    </row>
    <row r="91" spans="1:9" x14ac:dyDescent="0.6">
      <c r="A91">
        <v>2</v>
      </c>
      <c r="B91" s="1" t="s">
        <v>294</v>
      </c>
      <c r="C91" s="4" t="s">
        <v>335</v>
      </c>
      <c r="D91" s="3">
        <v>0.51341712474822998</v>
      </c>
      <c r="E91" s="4" t="s">
        <v>200</v>
      </c>
      <c r="F91" s="4" t="s">
        <v>201</v>
      </c>
      <c r="G91" s="4" t="str">
        <f>TEXT(SUBSTITUTE(LEFT(E91, FIND("(", E91) - 1), ",", "") * 172, "#,##0") &amp; " " &amp; MID(E91, FIND("(", E91), LEN(E91))</f>
        <v>158,217,984 (11.51%)</v>
      </c>
      <c r="H91" s="4" t="str">
        <f>TEXT(SUBSTITUTE(LEFT(F91, FIND("(", F91) - 1), ",", "") * 172, "#,##0") &amp; " " &amp; MID(F91, FIND("(", F91), LEN(F91))</f>
        <v>278,124 (16.38%)</v>
      </c>
      <c r="I91" s="4"/>
    </row>
    <row r="92" spans="1:9" x14ac:dyDescent="0.6">
      <c r="A92">
        <v>2</v>
      </c>
      <c r="B92" s="1" t="s">
        <v>294</v>
      </c>
      <c r="C92" s="4" t="s">
        <v>335</v>
      </c>
      <c r="D92" s="3">
        <v>0.71653133630752497</v>
      </c>
      <c r="E92" s="4" t="s">
        <v>202</v>
      </c>
      <c r="F92" s="4" t="s">
        <v>203</v>
      </c>
      <c r="G92" s="4" t="str">
        <f>TEXT(SUBSTITUTE(LEFT(E92, FIND("(", E92) - 1), ",", "") * 172, "#,##0") &amp; " " &amp; MID(E92, FIND("(", E92), LEN(E92))</f>
        <v>172,364,640 (12.54%)</v>
      </c>
      <c r="H92" s="4" t="str">
        <f>TEXT(SUBSTITUTE(LEFT(F92, FIND("(", F92) - 1), ",", "") * 172, "#,##0") &amp; " " &amp; MID(F92, FIND("(", F92), LEN(F92))</f>
        <v>202,272 (11.91%)</v>
      </c>
      <c r="I92" s="4"/>
    </row>
    <row r="93" spans="1:9" x14ac:dyDescent="0.6">
      <c r="A93">
        <v>2</v>
      </c>
      <c r="B93" s="1" t="s">
        <v>294</v>
      </c>
      <c r="C93" s="4" t="s">
        <v>335</v>
      </c>
      <c r="D93" s="3">
        <v>1</v>
      </c>
      <c r="E93" s="4" t="s">
        <v>204</v>
      </c>
      <c r="F93" s="4" t="s">
        <v>205</v>
      </c>
      <c r="G93" s="4" t="str">
        <f>TEXT(SUBSTITUTE(LEFT(E93, FIND("(", E93) - 1), ",", "") * 172, "#,##0") &amp; " " &amp; MID(E93, FIND("(", E93), LEN(E93))</f>
        <v>93,052,172 (6.77%)</v>
      </c>
      <c r="H93" s="4" t="str">
        <f>TEXT(SUBSTITUTE(LEFT(F93, FIND("(", F93) - 1), ",", "") * 172, "#,##0") &amp; " " &amp; MID(F93, FIND("(", F93), LEN(F93))</f>
        <v>96,148 (5.66%)</v>
      </c>
      <c r="I93" s="4"/>
    </row>
    <row r="94" spans="1:9" x14ac:dyDescent="0.6">
      <c r="A94">
        <v>2</v>
      </c>
      <c r="B94" s="1" t="s">
        <v>294</v>
      </c>
      <c r="C94" s="4" t="s">
        <v>304</v>
      </c>
      <c r="D94" s="3">
        <v>1</v>
      </c>
      <c r="E94" s="4" t="s">
        <v>234</v>
      </c>
      <c r="F94" s="4" t="s">
        <v>235</v>
      </c>
      <c r="G94" s="4" t="str">
        <f>TEXT(SUBSTITUTE(LEFT(E94, FIND("(", E94) - 1), ",", "") * 172, "#,##0") &amp; " " &amp; MID(E94, FIND("(", E94), LEN(E94))</f>
        <v>311,767,200 (22.69%)</v>
      </c>
      <c r="H94" s="4" t="str">
        <f>TEXT(SUBSTITUTE(LEFT(F94, FIND("(", F94) - 1), ",", "") * 172, "#,##0") &amp; " " &amp; MID(F94, FIND("(", F94), LEN(F94))</f>
        <v>397,836 (23.43%)</v>
      </c>
      <c r="I94" s="4" t="s">
        <v>236</v>
      </c>
    </row>
    <row r="95" spans="1:9" x14ac:dyDescent="0.6">
      <c r="A95">
        <v>2</v>
      </c>
      <c r="B95" s="1" t="s">
        <v>294</v>
      </c>
      <c r="C95" s="4" t="s">
        <v>304</v>
      </c>
      <c r="D95" s="3">
        <v>2</v>
      </c>
      <c r="E95" s="4" t="s">
        <v>237</v>
      </c>
      <c r="F95" s="4" t="s">
        <v>238</v>
      </c>
      <c r="G95" s="4" t="str">
        <f>TEXT(SUBSTITUTE(LEFT(E95, FIND("(", E95) - 1), ",", "") * 172, "#,##0") &amp; " " &amp; MID(E95, FIND("(", E95), LEN(E95))</f>
        <v>314,790,100 (22.91%)</v>
      </c>
      <c r="H95" s="4" t="str">
        <f>TEXT(SUBSTITUTE(LEFT(F95, FIND("(", F95) - 1), ",", "") * 172, "#,##0") &amp; " " &amp; MID(F95, FIND("(", F95), LEN(F95))</f>
        <v>457,692 (26.96%)</v>
      </c>
      <c r="I95" s="4"/>
    </row>
    <row r="96" spans="1:9" x14ac:dyDescent="0.6">
      <c r="A96">
        <v>2</v>
      </c>
      <c r="B96" s="1" t="s">
        <v>294</v>
      </c>
      <c r="C96" s="4" t="s">
        <v>304</v>
      </c>
      <c r="D96" s="3">
        <v>3</v>
      </c>
      <c r="E96" s="4" t="s">
        <v>239</v>
      </c>
      <c r="F96" s="4" t="s">
        <v>240</v>
      </c>
      <c r="G96" s="4" t="str">
        <f>TEXT(SUBSTITUTE(LEFT(E96, FIND("(", E96) - 1), ",", "") * 172, "#,##0") &amp; " " &amp; MID(E96, FIND("(", E96), LEN(E96))</f>
        <v>302,529,080 (22.01%)</v>
      </c>
      <c r="H96" s="4" t="str">
        <f>TEXT(SUBSTITUTE(LEFT(F96, FIND("(", F96) - 1), ",", "") * 172, "#,##0") &amp; " " &amp; MID(F96, FIND("(", F96), LEN(F96))</f>
        <v>306,504 (18.05%)</v>
      </c>
      <c r="I96" s="4"/>
    </row>
    <row r="97" spans="1:9" x14ac:dyDescent="0.6">
      <c r="A97">
        <v>2</v>
      </c>
      <c r="B97" s="1" t="s">
        <v>294</v>
      </c>
      <c r="C97" s="4" t="s">
        <v>304</v>
      </c>
      <c r="D97" s="3">
        <v>4</v>
      </c>
      <c r="E97" s="4" t="s">
        <v>241</v>
      </c>
      <c r="F97" s="4" t="s">
        <v>242</v>
      </c>
      <c r="G97" s="4" t="str">
        <f>TEXT(SUBSTITUTE(LEFT(E97, FIND("(", E97) - 1), ",", "") * 172, "#,##0") &amp; " " &amp; MID(E97, FIND("(", E97), LEN(E97))</f>
        <v>327,408,708 (23.83%)</v>
      </c>
      <c r="H97" s="4" t="str">
        <f>TEXT(SUBSTITUTE(LEFT(F97, FIND("(", F97) - 1), ",", "") * 172, "#,##0") &amp; " " &amp; MID(F97, FIND("(", F97), LEN(F97))</f>
        <v>362,920 (21.37%)</v>
      </c>
      <c r="I97" s="4"/>
    </row>
    <row r="98" spans="1:9" x14ac:dyDescent="0.6">
      <c r="A98">
        <v>2</v>
      </c>
      <c r="B98" s="1" t="s">
        <v>294</v>
      </c>
      <c r="C98" s="4" t="s">
        <v>304</v>
      </c>
      <c r="D98" s="3">
        <v>5</v>
      </c>
      <c r="E98" s="4" t="s">
        <v>243</v>
      </c>
      <c r="F98" s="4" t="s">
        <v>244</v>
      </c>
      <c r="G98" s="4" t="str">
        <f>TEXT(SUBSTITUTE(LEFT(E98, FIND("(", E98) - 1), ",", "") * 172, "#,##0") &amp; " " &amp; MID(E98, FIND("(", E98), LEN(E98))</f>
        <v>117,714,564 (8.57%)</v>
      </c>
      <c r="H98" s="4" t="str">
        <f>TEXT(SUBSTITUTE(LEFT(F98, FIND("(", F98) - 1), ",", "") * 172, "#,##0") &amp; " " &amp; MID(F98, FIND("(", F98), LEN(F98))</f>
        <v>173,032 (10.19%)</v>
      </c>
      <c r="I98" s="4"/>
    </row>
    <row r="99" spans="1:9" x14ac:dyDescent="0.6">
      <c r="A99">
        <v>2</v>
      </c>
      <c r="B99" s="1" t="s">
        <v>294</v>
      </c>
      <c r="C99" s="4" t="s">
        <v>327</v>
      </c>
      <c r="D99" s="4" t="s">
        <v>26</v>
      </c>
      <c r="E99" s="4" t="s">
        <v>256</v>
      </c>
      <c r="F99" s="4" t="s">
        <v>257</v>
      </c>
      <c r="G99" s="4" t="s">
        <v>256</v>
      </c>
      <c r="H99" s="4" t="s">
        <v>257</v>
      </c>
      <c r="I99" s="4" t="s">
        <v>258</v>
      </c>
    </row>
    <row r="100" spans="1:9" x14ac:dyDescent="0.6">
      <c r="A100">
        <v>2</v>
      </c>
      <c r="B100" s="1" t="s">
        <v>294</v>
      </c>
      <c r="C100" s="4" t="s">
        <v>329</v>
      </c>
      <c r="D100" s="4" t="s">
        <v>26</v>
      </c>
      <c r="E100" s="4" t="s">
        <v>267</v>
      </c>
      <c r="F100" s="4" t="s">
        <v>268</v>
      </c>
      <c r="G100" s="4" t="s">
        <v>267</v>
      </c>
      <c r="H100" s="4" t="s">
        <v>268</v>
      </c>
      <c r="I100" s="4" t="s">
        <v>269</v>
      </c>
    </row>
    <row r="101" spans="1:9" x14ac:dyDescent="0.6">
      <c r="A101">
        <v>3</v>
      </c>
      <c r="B101" s="1" t="s">
        <v>292</v>
      </c>
      <c r="C101" s="4" t="s">
        <v>358</v>
      </c>
      <c r="D101" s="4" t="s">
        <v>26</v>
      </c>
      <c r="E101" s="4" t="s">
        <v>118</v>
      </c>
      <c r="F101" s="4" t="s">
        <v>119</v>
      </c>
      <c r="G101" s="4" t="s">
        <v>118</v>
      </c>
      <c r="H101" s="4" t="s">
        <v>119</v>
      </c>
      <c r="I101" s="4" t="s">
        <v>120</v>
      </c>
    </row>
    <row r="102" spans="1:9" x14ac:dyDescent="0.6">
      <c r="A102">
        <v>3</v>
      </c>
      <c r="B102" s="1" t="s">
        <v>292</v>
      </c>
      <c r="C102" s="4" t="s">
        <v>356</v>
      </c>
      <c r="D102" s="4" t="s">
        <v>26</v>
      </c>
      <c r="E102" s="4" t="s">
        <v>136</v>
      </c>
      <c r="F102" s="4" t="s">
        <v>137</v>
      </c>
      <c r="G102" s="4" t="s">
        <v>136</v>
      </c>
      <c r="H102" s="4" t="s">
        <v>137</v>
      </c>
      <c r="I102" s="4" t="s">
        <v>138</v>
      </c>
    </row>
    <row r="103" spans="1:9" x14ac:dyDescent="0.6">
      <c r="A103">
        <v>3</v>
      </c>
      <c r="B103" s="1" t="s">
        <v>292</v>
      </c>
      <c r="C103" s="4" t="s">
        <v>357</v>
      </c>
      <c r="D103" s="4" t="s">
        <v>26</v>
      </c>
      <c r="E103" s="4" t="s">
        <v>158</v>
      </c>
      <c r="F103" s="4" t="s">
        <v>159</v>
      </c>
      <c r="G103" s="4" t="s">
        <v>158</v>
      </c>
      <c r="H103" s="4" t="s">
        <v>159</v>
      </c>
      <c r="I103" s="4" t="s">
        <v>160</v>
      </c>
    </row>
    <row r="104" spans="1:9" x14ac:dyDescent="0.6">
      <c r="A104">
        <v>3</v>
      </c>
      <c r="B104" s="1" t="s">
        <v>292</v>
      </c>
      <c r="C104" s="4" t="s">
        <v>328</v>
      </c>
      <c r="D104" s="4" t="s">
        <v>26</v>
      </c>
      <c r="E104" s="4" t="s">
        <v>161</v>
      </c>
      <c r="F104" s="4" t="s">
        <v>162</v>
      </c>
      <c r="G104" s="4" t="s">
        <v>161</v>
      </c>
      <c r="H104" s="4" t="s">
        <v>162</v>
      </c>
      <c r="I104" s="4" t="s">
        <v>163</v>
      </c>
    </row>
    <row r="105" spans="1:9" x14ac:dyDescent="0.6">
      <c r="A105">
        <v>3</v>
      </c>
      <c r="B105" s="1" t="s">
        <v>292</v>
      </c>
      <c r="C105" s="4" t="s">
        <v>331</v>
      </c>
      <c r="D105" s="4" t="s">
        <v>26</v>
      </c>
      <c r="E105" s="4" t="s">
        <v>206</v>
      </c>
      <c r="F105" s="4" t="s">
        <v>207</v>
      </c>
      <c r="G105" s="4" t="s">
        <v>206</v>
      </c>
      <c r="H105" s="4" t="s">
        <v>207</v>
      </c>
      <c r="I105" s="4" t="s">
        <v>208</v>
      </c>
    </row>
    <row r="106" spans="1:9" x14ac:dyDescent="0.6">
      <c r="A106">
        <v>3</v>
      </c>
      <c r="B106" s="1" t="s">
        <v>292</v>
      </c>
      <c r="C106" s="4" t="s">
        <v>355</v>
      </c>
      <c r="D106" s="4" t="s">
        <v>26</v>
      </c>
      <c r="E106" s="4" t="s">
        <v>225</v>
      </c>
      <c r="F106" s="4" t="s">
        <v>226</v>
      </c>
      <c r="G106" s="4" t="s">
        <v>225</v>
      </c>
      <c r="H106" s="4" t="s">
        <v>226</v>
      </c>
      <c r="I106" s="4" t="s">
        <v>227</v>
      </c>
    </row>
    <row r="107" spans="1:9" x14ac:dyDescent="0.6">
      <c r="A107">
        <v>3</v>
      </c>
      <c r="B107" s="1" t="s">
        <v>292</v>
      </c>
      <c r="C107" s="4" t="s">
        <v>321</v>
      </c>
      <c r="D107" s="4" t="s">
        <v>26</v>
      </c>
      <c r="E107" s="4" t="s">
        <v>228</v>
      </c>
      <c r="F107" s="4" t="s">
        <v>229</v>
      </c>
      <c r="G107" s="4" t="s">
        <v>228</v>
      </c>
      <c r="H107" s="4" t="s">
        <v>229</v>
      </c>
      <c r="I107" s="4" t="s">
        <v>230</v>
      </c>
    </row>
    <row r="108" spans="1:9" x14ac:dyDescent="0.6">
      <c r="A108">
        <v>3</v>
      </c>
      <c r="B108" s="1" t="s">
        <v>292</v>
      </c>
      <c r="C108" s="4" t="s">
        <v>330</v>
      </c>
      <c r="D108" s="4" t="s">
        <v>26</v>
      </c>
      <c r="E108" s="4" t="s">
        <v>248</v>
      </c>
      <c r="F108" s="4" t="s">
        <v>249</v>
      </c>
      <c r="G108" s="4" t="s">
        <v>248</v>
      </c>
      <c r="H108" s="4" t="s">
        <v>249</v>
      </c>
      <c r="I108" s="4" t="s">
        <v>250</v>
      </c>
    </row>
    <row r="109" spans="1:9" x14ac:dyDescent="0.6">
      <c r="A109">
        <v>4</v>
      </c>
      <c r="B109" s="1" t="s">
        <v>293</v>
      </c>
      <c r="C109" s="4" t="s">
        <v>350</v>
      </c>
      <c r="D109" s="3">
        <v>0</v>
      </c>
      <c r="E109" s="4" t="s">
        <v>52</v>
      </c>
      <c r="F109" s="4" t="s">
        <v>53</v>
      </c>
      <c r="G109" s="4" t="str">
        <f>TEXT(SUBSTITUTE(LEFT(E109, FIND("(", E109) - 1), ",", "") * 172, "#,##0") &amp; " " &amp; MID(E109, FIND("(", E109), LEN(E109))</f>
        <v>411,596 (0.03%)</v>
      </c>
      <c r="H109" s="4" t="str">
        <f>TEXT(SUBSTITUTE(LEFT(F109, FIND("(", F109) - 1), ",", "") * 172, "#,##0") &amp; " " &amp; MID(F109, FIND("(", F109), LEN(F109))</f>
        <v>0 (0.00%)</v>
      </c>
      <c r="I109" s="4" t="s">
        <v>54</v>
      </c>
    </row>
    <row r="110" spans="1:9" x14ac:dyDescent="0.6">
      <c r="A110">
        <v>4</v>
      </c>
      <c r="B110" s="1" t="s">
        <v>293</v>
      </c>
      <c r="C110" s="4" t="s">
        <v>350</v>
      </c>
      <c r="D110" s="3">
        <v>1</v>
      </c>
      <c r="E110" s="4" t="s">
        <v>55</v>
      </c>
      <c r="F110" s="4" t="s">
        <v>56</v>
      </c>
      <c r="G110" s="4" t="str">
        <f>TEXT(SUBSTITUTE(LEFT(E110, FIND("(", E110) - 1), ",", "") * 172, "#,##0") &amp; " " &amp; MID(E110, FIND("(", E110), LEN(E110))</f>
        <v>1,524,780 (0.11%)</v>
      </c>
      <c r="H110" s="4" t="str">
        <f>TEXT(SUBSTITUTE(LEFT(F110, FIND("(", F110) - 1), ",", "") * 172, "#,##0") &amp; " " &amp; MID(F110, FIND("(", F110), LEN(F110))</f>
        <v>1,548 (0.09%)</v>
      </c>
      <c r="I110" s="4"/>
    </row>
    <row r="111" spans="1:9" x14ac:dyDescent="0.6">
      <c r="A111">
        <v>4</v>
      </c>
      <c r="B111" s="1" t="s">
        <v>293</v>
      </c>
      <c r="C111" s="4" t="s">
        <v>350</v>
      </c>
      <c r="D111" s="3">
        <v>2</v>
      </c>
      <c r="E111" s="4" t="s">
        <v>57</v>
      </c>
      <c r="F111" s="4" t="s">
        <v>58</v>
      </c>
      <c r="G111" s="4" t="str">
        <f>TEXT(SUBSTITUTE(LEFT(E111, FIND("(", E111) - 1), ",", "") * 172, "#,##0") &amp; " " &amp; MID(E111, FIND("(", E111), LEN(E111))</f>
        <v>111,112 (0.01%)</v>
      </c>
      <c r="H111" s="4" t="str">
        <f>TEXT(SUBSTITUTE(LEFT(F111, FIND("(", F111) - 1), ",", "") * 172, "#,##0") &amp; " " &amp; MID(F111, FIND("(", F111), LEN(F111))</f>
        <v>860 (0.05%)</v>
      </c>
      <c r="I111" s="4"/>
    </row>
    <row r="112" spans="1:9" x14ac:dyDescent="0.6">
      <c r="A112">
        <v>4</v>
      </c>
      <c r="B112" s="1" t="s">
        <v>293</v>
      </c>
      <c r="C112" s="4" t="s">
        <v>350</v>
      </c>
      <c r="D112" s="3">
        <v>3</v>
      </c>
      <c r="E112" s="4" t="s">
        <v>59</v>
      </c>
      <c r="F112" s="4" t="s">
        <v>60</v>
      </c>
      <c r="G112" s="4" t="str">
        <f>TEXT(SUBSTITUTE(LEFT(E112, FIND("(", E112) - 1), ",", "") * 172, "#,##0") &amp; " " &amp; MID(E112, FIND("(", E112), LEN(E112))</f>
        <v>1,124,536 (0.08%)</v>
      </c>
      <c r="H112" s="4" t="str">
        <f>TEXT(SUBSTITUTE(LEFT(F112, FIND("(", F112) - 1), ",", "") * 172, "#,##0") &amp; " " &amp; MID(F112, FIND("(", F112), LEN(F112))</f>
        <v>3,268 (0.19%)</v>
      </c>
      <c r="I112" s="4"/>
    </row>
    <row r="113" spans="1:9" x14ac:dyDescent="0.6">
      <c r="A113">
        <v>4</v>
      </c>
      <c r="B113" s="1" t="s">
        <v>293</v>
      </c>
      <c r="C113" s="4" t="s">
        <v>350</v>
      </c>
      <c r="D113" s="3">
        <v>4</v>
      </c>
      <c r="E113" s="4" t="s">
        <v>50</v>
      </c>
      <c r="F113" s="4" t="s">
        <v>51</v>
      </c>
      <c r="G113" s="4" t="str">
        <f>TEXT(SUBSTITUTE(LEFT(E113, FIND("(", E113) - 1), ",", "") * 172, "#,##0") &amp; " " &amp; MID(E113, FIND("(", E113), LEN(E113))</f>
        <v>117,799,876 (8.57%)</v>
      </c>
      <c r="H113" s="4" t="str">
        <f>TEXT(SUBSTITUTE(LEFT(F113, FIND("(", F113) - 1), ",", "") * 172, "#,##0") &amp; " " &amp; MID(F113, FIND("(", F113), LEN(F113))</f>
        <v>1,399,736 (82.44%)</v>
      </c>
      <c r="I113" s="4"/>
    </row>
    <row r="114" spans="1:9" x14ac:dyDescent="0.6">
      <c r="A114">
        <v>4</v>
      </c>
      <c r="B114" s="1" t="s">
        <v>293</v>
      </c>
      <c r="C114" s="4" t="s">
        <v>350</v>
      </c>
      <c r="D114" s="3">
        <v>5</v>
      </c>
      <c r="E114" s="4" t="s">
        <v>45</v>
      </c>
      <c r="F114" s="4" t="s">
        <v>46</v>
      </c>
      <c r="G114" s="4" t="str">
        <f>TEXT(SUBSTITUTE(LEFT(E114, FIND("(", E114) - 1), ",", "") * 172, "#,##0") &amp; " " &amp; MID(E114, FIND("(", E114), LEN(E114))</f>
        <v>1,253,237,752 (91.20%)</v>
      </c>
      <c r="H114" s="4" t="str">
        <f>TEXT(SUBSTITUTE(LEFT(F114, FIND("(", F114) - 1), ",", "") * 172, "#,##0") &amp; " " &amp; MID(F114, FIND("(", F114), LEN(F114))</f>
        <v>292,572 (17.23%)</v>
      </c>
      <c r="I114" s="4"/>
    </row>
    <row r="115" spans="1:9" x14ac:dyDescent="0.6">
      <c r="A115">
        <v>4</v>
      </c>
      <c r="B115" s="1" t="s">
        <v>293</v>
      </c>
      <c r="C115" s="4" t="s">
        <v>333</v>
      </c>
      <c r="D115" s="3">
        <v>0</v>
      </c>
      <c r="E115" s="4" t="s">
        <v>121</v>
      </c>
      <c r="F115" s="4" t="s">
        <v>122</v>
      </c>
      <c r="G115" s="4" t="str">
        <f>TEXT(SUBSTITUTE(LEFT(E115, FIND("(", E115) - 1), ",", "") * 172, "#,##0") &amp; " " &amp; MID(E115, FIND("(", E115), LEN(E115))</f>
        <v>1,370,206,008 (99.71%)</v>
      </c>
      <c r="H115" s="4" t="str">
        <f>TEXT(SUBSTITUTE(LEFT(F115, FIND("(", F115) - 1), ",", "") * 172, "#,##0") &amp; " " &amp; MID(F115, FIND("(", F115), LEN(F115))</f>
        <v>1,388,556 (81.78%)</v>
      </c>
      <c r="I115" s="4" t="s">
        <v>123</v>
      </c>
    </row>
    <row r="116" spans="1:9" x14ac:dyDescent="0.6">
      <c r="A116">
        <v>4</v>
      </c>
      <c r="B116" s="1" t="s">
        <v>293</v>
      </c>
      <c r="C116" s="4" t="s">
        <v>333</v>
      </c>
      <c r="D116" s="3">
        <v>0.20000000298023199</v>
      </c>
      <c r="E116" s="4" t="s">
        <v>124</v>
      </c>
      <c r="F116" s="4" t="s">
        <v>125</v>
      </c>
      <c r="G116" s="4" t="str">
        <f>TEXT(SUBSTITUTE(LEFT(E116, FIND("(", E116) - 1), ",", "") * 172, "#,##0") &amp; " " &amp; MID(E116, FIND("(", E116), LEN(E116))</f>
        <v>2,905,080 (0.21%)</v>
      </c>
      <c r="H116" s="4" t="str">
        <f>TEXT(SUBSTITUTE(LEFT(F116, FIND("(", F116) - 1), ",", "") * 172, "#,##0") &amp; " " &amp; MID(F116, FIND("(", F116), LEN(F116))</f>
        <v>16,856 (0.99%)</v>
      </c>
      <c r="I116" s="4"/>
    </row>
    <row r="117" spans="1:9" x14ac:dyDescent="0.6">
      <c r="A117">
        <v>4</v>
      </c>
      <c r="B117" s="1" t="s">
        <v>293</v>
      </c>
      <c r="C117" s="4" t="s">
        <v>333</v>
      </c>
      <c r="D117" s="3">
        <v>0.5</v>
      </c>
      <c r="E117" s="4" t="s">
        <v>126</v>
      </c>
      <c r="F117" s="4" t="s">
        <v>127</v>
      </c>
      <c r="G117" s="4" t="str">
        <f>TEXT(SUBSTITUTE(LEFT(E117, FIND("(", E117) - 1), ",", "") * 172, "#,##0") &amp; " " &amp; MID(E117, FIND("(", E117), LEN(E117))</f>
        <v>115,240 (0.01%)</v>
      </c>
      <c r="H117" s="4" t="str">
        <f>TEXT(SUBSTITUTE(LEFT(F117, FIND("(", F117) - 1), ",", "") * 172, "#,##0") &amp; " " &amp; MID(F117, FIND("(", F117), LEN(F117))</f>
        <v>688 (0.04%)</v>
      </c>
      <c r="I117" s="4"/>
    </row>
    <row r="118" spans="1:9" x14ac:dyDescent="0.6">
      <c r="A118">
        <v>4</v>
      </c>
      <c r="B118" s="1" t="s">
        <v>293</v>
      </c>
      <c r="C118" s="4" t="s">
        <v>333</v>
      </c>
      <c r="D118" s="3">
        <v>1</v>
      </c>
      <c r="E118" s="4" t="s">
        <v>128</v>
      </c>
      <c r="F118" s="4" t="s">
        <v>129</v>
      </c>
      <c r="G118" s="4" t="str">
        <f>TEXT(SUBSTITUTE(LEFT(E118, FIND("(", E118) - 1), ",", "") * 172, "#,##0") &amp; " " &amp; MID(E118, FIND("(", E118), LEN(E118))</f>
        <v>983,324 (0.07%)</v>
      </c>
      <c r="H118" s="4" t="str">
        <f>TEXT(SUBSTITUTE(LEFT(F118, FIND("(", F118) - 1), ",", "") * 172, "#,##0") &amp; " " &amp; MID(F118, FIND("(", F118), LEN(F118))</f>
        <v>291,884 (17.19%)</v>
      </c>
      <c r="I118" s="4"/>
    </row>
    <row r="119" spans="1:9" x14ac:dyDescent="0.6">
      <c r="A119">
        <v>4</v>
      </c>
      <c r="B119" s="1" t="s">
        <v>293</v>
      </c>
      <c r="C119" s="4" t="s">
        <v>351</v>
      </c>
      <c r="D119" s="4" t="s">
        <v>26</v>
      </c>
      <c r="E119" s="4" t="s">
        <v>147</v>
      </c>
      <c r="F119" s="4" t="s">
        <v>148</v>
      </c>
      <c r="G119" s="4" t="s">
        <v>147</v>
      </c>
      <c r="H119" s="4" t="s">
        <v>148</v>
      </c>
      <c r="I119" s="4" t="s">
        <v>149</v>
      </c>
    </row>
    <row r="120" spans="1:9" x14ac:dyDescent="0.6">
      <c r="A120">
        <v>4</v>
      </c>
      <c r="B120" s="1" t="s">
        <v>293</v>
      </c>
      <c r="C120" s="4" t="s">
        <v>338</v>
      </c>
      <c r="D120" s="4" t="s">
        <v>26</v>
      </c>
      <c r="E120" s="4" t="s">
        <v>161</v>
      </c>
      <c r="F120" s="4" t="s">
        <v>164</v>
      </c>
      <c r="G120" s="4" t="s">
        <v>161</v>
      </c>
      <c r="H120" s="4" t="s">
        <v>164</v>
      </c>
      <c r="I120" s="4" t="s">
        <v>165</v>
      </c>
    </row>
    <row r="121" spans="1:9" x14ac:dyDescent="0.6">
      <c r="A121">
        <v>4</v>
      </c>
      <c r="B121" s="1" t="s">
        <v>293</v>
      </c>
      <c r="C121" s="4" t="s">
        <v>334</v>
      </c>
      <c r="D121" s="4" t="s">
        <v>26</v>
      </c>
      <c r="E121" s="4" t="s">
        <v>222</v>
      </c>
      <c r="F121" s="4" t="s">
        <v>223</v>
      </c>
      <c r="G121" s="4" t="s">
        <v>222</v>
      </c>
      <c r="H121" s="4" t="s">
        <v>223</v>
      </c>
      <c r="I121" s="4" t="s">
        <v>224</v>
      </c>
    </row>
  </sheetData>
  <autoFilter ref="A1:I121" xr:uid="{CECEBC38-18B6-4B95-AB93-6AD592D991D9}">
    <sortState xmlns:xlrd2="http://schemas.microsoft.com/office/spreadsheetml/2017/richdata2" ref="A2:I121">
      <sortCondition ref="A1:A12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2015-06-05T18:19:34Z</dcterms:created>
  <dcterms:modified xsi:type="dcterms:W3CDTF">2026-07-29T15:00:33Z</dcterms:modified>
</cp:coreProperties>
</file>